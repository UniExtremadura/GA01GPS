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ula\Downloads\"/>
    </mc:Choice>
  </mc:AlternateContent>
  <xr:revisionPtr revIDLastSave="0" documentId="8_{8139902A-32BA-47B5-8EF6-73D0083043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Reparto" sheetId="2" r:id="rId2"/>
    <sheet name="Planificacion inicial" sheetId="3" r:id="rId3"/>
    <sheet name="Dependencias" sheetId="4" r:id="rId4"/>
    <sheet name="Gant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D20" i="5"/>
  <c r="C20" i="5"/>
  <c r="J20" i="5" s="1"/>
  <c r="B20" i="5"/>
  <c r="A20" i="5"/>
  <c r="G19" i="5"/>
  <c r="F19" i="5"/>
  <c r="D19" i="5"/>
  <c r="C19" i="5"/>
  <c r="E19" i="5" s="1"/>
  <c r="B19" i="5"/>
  <c r="A19" i="5"/>
  <c r="I18" i="5"/>
  <c r="D18" i="5"/>
  <c r="C18" i="5"/>
  <c r="G18" i="5" s="1"/>
  <c r="B18" i="5"/>
  <c r="A18" i="5"/>
  <c r="J17" i="5"/>
  <c r="D17" i="5"/>
  <c r="C17" i="5"/>
  <c r="B17" i="5"/>
  <c r="A17" i="5"/>
  <c r="H16" i="5"/>
  <c r="G16" i="5"/>
  <c r="D16" i="5"/>
  <c r="C16" i="5"/>
  <c r="J16" i="5" s="1"/>
  <c r="B16" i="5"/>
  <c r="A16" i="5"/>
  <c r="I15" i="5"/>
  <c r="G15" i="5"/>
  <c r="F15" i="5"/>
  <c r="D15" i="5"/>
  <c r="C15" i="5"/>
  <c r="E15" i="5" s="1"/>
  <c r="B15" i="5"/>
  <c r="A15" i="5"/>
  <c r="I14" i="5"/>
  <c r="H14" i="5"/>
  <c r="D14" i="5"/>
  <c r="C14" i="5"/>
  <c r="B14" i="5"/>
  <c r="A14" i="5"/>
  <c r="J13" i="5"/>
  <c r="D13" i="5"/>
  <c r="C13" i="5"/>
  <c r="I13" i="5" s="1"/>
  <c r="B13" i="5"/>
  <c r="A13" i="5"/>
  <c r="H12" i="5"/>
  <c r="G12" i="5"/>
  <c r="E12" i="5"/>
  <c r="D12" i="5"/>
  <c r="C12" i="5"/>
  <c r="B12" i="5"/>
  <c r="A12" i="5"/>
  <c r="J11" i="5"/>
  <c r="G11" i="5"/>
  <c r="F11" i="5"/>
  <c r="E11" i="5"/>
  <c r="D11" i="5"/>
  <c r="C11" i="5"/>
  <c r="H11" i="5" s="1"/>
  <c r="B11" i="5"/>
  <c r="A11" i="5"/>
  <c r="I10" i="5"/>
  <c r="H10" i="5"/>
  <c r="D10" i="5"/>
  <c r="C10" i="5"/>
  <c r="G10" i="5" s="1"/>
  <c r="B10" i="5"/>
  <c r="A10" i="5"/>
  <c r="J9" i="5"/>
  <c r="D9" i="5"/>
  <c r="C9" i="5"/>
  <c r="I9" i="5" s="1"/>
  <c r="B9" i="5"/>
  <c r="A9" i="5"/>
  <c r="H8" i="5"/>
  <c r="G8" i="5"/>
  <c r="E8" i="5"/>
  <c r="D8" i="5"/>
  <c r="C8" i="5"/>
  <c r="J8" i="5" s="1"/>
  <c r="B8" i="5"/>
  <c r="A8" i="5"/>
  <c r="J7" i="5"/>
  <c r="I7" i="5"/>
  <c r="G7" i="5"/>
  <c r="F7" i="5"/>
  <c r="E7" i="5"/>
  <c r="D7" i="5"/>
  <c r="C7" i="5"/>
  <c r="B7" i="5"/>
  <c r="A7" i="5"/>
  <c r="I6" i="5"/>
  <c r="H6" i="5"/>
  <c r="D6" i="5"/>
  <c r="C6" i="5"/>
  <c r="G6" i="5" s="1"/>
  <c r="B6" i="5"/>
  <c r="A6" i="5"/>
  <c r="D5" i="5"/>
  <c r="C5" i="5"/>
  <c r="I5" i="5" s="1"/>
  <c r="B5" i="5"/>
  <c r="A5" i="5"/>
  <c r="H4" i="5"/>
  <c r="E4" i="5"/>
  <c r="D4" i="5"/>
  <c r="C4" i="5"/>
  <c r="J4" i="5" s="1"/>
  <c r="B4" i="5"/>
  <c r="A4" i="5"/>
  <c r="J3" i="5"/>
  <c r="I3" i="5"/>
  <c r="G3" i="5"/>
  <c r="E3" i="5"/>
  <c r="D3" i="5"/>
  <c r="C3" i="5"/>
  <c r="H3" i="5" s="1"/>
  <c r="B3" i="5"/>
  <c r="A3" i="5"/>
  <c r="I2" i="5"/>
  <c r="H2" i="5"/>
  <c r="D2" i="5"/>
  <c r="D21" i="5" s="1"/>
  <c r="C2" i="5"/>
  <c r="G2" i="5" s="1"/>
  <c r="B2" i="5"/>
  <c r="A2" i="5"/>
  <c r="E23" i="4"/>
  <c r="D23" i="4"/>
  <c r="C23" i="4"/>
  <c r="D22" i="4"/>
  <c r="C22" i="4"/>
  <c r="E22" i="4" s="1"/>
  <c r="D21" i="4"/>
  <c r="C21" i="4"/>
  <c r="E21" i="4" s="1"/>
  <c r="D20" i="4"/>
  <c r="E20" i="4" s="1"/>
  <c r="C20" i="4"/>
  <c r="E19" i="4"/>
  <c r="D19" i="4"/>
  <c r="C19" i="4"/>
  <c r="D18" i="4"/>
  <c r="E18" i="4" s="1"/>
  <c r="C18" i="4"/>
  <c r="D17" i="4"/>
  <c r="C17" i="4"/>
  <c r="E17" i="4" s="1"/>
  <c r="D16" i="4"/>
  <c r="C16" i="4"/>
  <c r="E16" i="4" s="1"/>
  <c r="E15" i="4"/>
  <c r="D15" i="4"/>
  <c r="C15" i="4"/>
  <c r="D14" i="4"/>
  <c r="C14" i="4"/>
  <c r="E14" i="4" s="1"/>
  <c r="D13" i="4"/>
  <c r="C13" i="4"/>
  <c r="E13" i="4" s="1"/>
  <c r="D12" i="4"/>
  <c r="E12" i="4" s="1"/>
  <c r="C12" i="4"/>
  <c r="E11" i="4"/>
  <c r="D11" i="4"/>
  <c r="C11" i="4"/>
  <c r="D10" i="4"/>
  <c r="E10" i="4" s="1"/>
  <c r="C10" i="4"/>
  <c r="D9" i="4"/>
  <c r="C9" i="4"/>
  <c r="E9" i="4" s="1"/>
  <c r="D8" i="4"/>
  <c r="C8" i="4"/>
  <c r="E8" i="4" s="1"/>
  <c r="E7" i="4"/>
  <c r="D7" i="4"/>
  <c r="C7" i="4"/>
  <c r="D6" i="4"/>
  <c r="C6" i="4"/>
  <c r="E6" i="4" s="1"/>
  <c r="D5" i="4"/>
  <c r="C5" i="4"/>
  <c r="E5" i="4" s="1"/>
  <c r="D4" i="4"/>
  <c r="C4" i="4"/>
  <c r="E4" i="4" s="1"/>
  <c r="E3" i="4"/>
  <c r="D3" i="4"/>
  <c r="C3" i="4"/>
  <c r="D2" i="4"/>
  <c r="E2" i="4" s="1"/>
  <c r="C2" i="4"/>
  <c r="B16" i="3"/>
  <c r="B15" i="3"/>
  <c r="B14" i="3"/>
  <c r="C13" i="3"/>
  <c r="D13" i="3" s="1"/>
  <c r="B13" i="3"/>
  <c r="C12" i="3"/>
  <c r="D12" i="3" s="1"/>
  <c r="B12" i="3"/>
  <c r="C11" i="3"/>
  <c r="B11" i="3"/>
  <c r="B17" i="3" s="1"/>
  <c r="C7" i="3"/>
  <c r="B7" i="3"/>
  <c r="C15" i="3" s="1"/>
  <c r="D15" i="3" s="1"/>
  <c r="J6" i="3"/>
  <c r="H6" i="3"/>
  <c r="G6" i="3"/>
  <c r="F6" i="3"/>
  <c r="E6" i="3"/>
  <c r="D6" i="3"/>
  <c r="C6" i="3"/>
  <c r="I6" i="3" s="1"/>
  <c r="J5" i="3"/>
  <c r="K5" i="3" s="1"/>
  <c r="H5" i="3"/>
  <c r="I5" i="3" s="1"/>
  <c r="M5" i="3" s="1"/>
  <c r="G5" i="3"/>
  <c r="F5" i="3"/>
  <c r="E5" i="3"/>
  <c r="D5" i="3"/>
  <c r="C5" i="3"/>
  <c r="J4" i="3"/>
  <c r="K4" i="3" s="1"/>
  <c r="H4" i="3"/>
  <c r="G4" i="3"/>
  <c r="F4" i="3"/>
  <c r="E4" i="3"/>
  <c r="D4" i="3"/>
  <c r="C4" i="3"/>
  <c r="I4" i="3" s="1"/>
  <c r="M4" i="3" s="1"/>
  <c r="J3" i="3"/>
  <c r="H3" i="3"/>
  <c r="G3" i="3"/>
  <c r="F3" i="3"/>
  <c r="E3" i="3"/>
  <c r="D3" i="3"/>
  <c r="D7" i="3" s="1"/>
  <c r="C3" i="3"/>
  <c r="I3" i="3" s="1"/>
  <c r="M3" i="3" s="1"/>
  <c r="J2" i="3"/>
  <c r="J7" i="3" s="1"/>
  <c r="H2" i="3"/>
  <c r="H7" i="3" s="1"/>
  <c r="G2" i="3"/>
  <c r="G7" i="3" s="1"/>
  <c r="F2" i="3"/>
  <c r="F7" i="3" s="1"/>
  <c r="E2" i="3"/>
  <c r="E7" i="3" s="1"/>
  <c r="D2" i="3"/>
  <c r="C2" i="3"/>
  <c r="I2" i="3" s="1"/>
  <c r="I21" i="2"/>
  <c r="H21" i="2"/>
  <c r="G21" i="2"/>
  <c r="F21" i="2"/>
  <c r="E21" i="2"/>
  <c r="D21" i="2"/>
  <c r="J20" i="2"/>
  <c r="K20" i="2" s="1"/>
  <c r="L20" i="2" s="1"/>
  <c r="L19" i="2"/>
  <c r="K19" i="2"/>
  <c r="J19" i="2"/>
  <c r="J18" i="2"/>
  <c r="K18" i="2" s="1"/>
  <c r="L18" i="2" s="1"/>
  <c r="J17" i="2"/>
  <c r="K17" i="2" s="1"/>
  <c r="L17" i="2" s="1"/>
  <c r="L16" i="2"/>
  <c r="K16" i="2"/>
  <c r="J16" i="2"/>
  <c r="J15" i="2"/>
  <c r="K15" i="2" s="1"/>
  <c r="L15" i="2" s="1"/>
  <c r="K14" i="2"/>
  <c r="L14" i="2" s="1"/>
  <c r="J14" i="2"/>
  <c r="L13" i="2"/>
  <c r="K13" i="2"/>
  <c r="J13" i="2"/>
  <c r="J12" i="2"/>
  <c r="K12" i="2" s="1"/>
  <c r="L12" i="2" s="1"/>
  <c r="L11" i="2"/>
  <c r="K11" i="2"/>
  <c r="J11" i="2"/>
  <c r="J10" i="2"/>
  <c r="K10" i="2" s="1"/>
  <c r="L10" i="2" s="1"/>
  <c r="J9" i="2"/>
  <c r="K9" i="2" s="1"/>
  <c r="L9" i="2" s="1"/>
  <c r="L8" i="2"/>
  <c r="K8" i="2"/>
  <c r="J8" i="2"/>
  <c r="J7" i="2"/>
  <c r="K7" i="2" s="1"/>
  <c r="L7" i="2" s="1"/>
  <c r="K6" i="2"/>
  <c r="L6" i="2" s="1"/>
  <c r="J6" i="2"/>
  <c r="L5" i="2"/>
  <c r="K5" i="2"/>
  <c r="J5" i="2"/>
  <c r="J4" i="2"/>
  <c r="K4" i="2" s="1"/>
  <c r="L4" i="2" s="1"/>
  <c r="L3" i="2"/>
  <c r="K3" i="2"/>
  <c r="J3" i="2"/>
  <c r="J21" i="2" s="1"/>
  <c r="J2" i="2"/>
  <c r="K2" i="2" s="1"/>
  <c r="N21" i="1"/>
  <c r="M21" i="1"/>
  <c r="K3" i="3" l="1"/>
  <c r="L2" i="2"/>
  <c r="K21" i="2"/>
  <c r="L21" i="2" s="1"/>
  <c r="I7" i="3"/>
  <c r="M2" i="3"/>
  <c r="K2" i="3"/>
  <c r="M6" i="3"/>
  <c r="K6" i="3"/>
  <c r="C16" i="3"/>
  <c r="D16" i="3" s="1"/>
  <c r="J2" i="5"/>
  <c r="F4" i="5"/>
  <c r="J6" i="5"/>
  <c r="F8" i="5"/>
  <c r="J10" i="5"/>
  <c r="F12" i="5"/>
  <c r="J14" i="5"/>
  <c r="H15" i="5"/>
  <c r="F16" i="5"/>
  <c r="J18" i="5"/>
  <c r="H19" i="5"/>
  <c r="F20" i="5"/>
  <c r="E5" i="5"/>
  <c r="E9" i="5"/>
  <c r="E13" i="5"/>
  <c r="E17" i="5"/>
  <c r="G20" i="5"/>
  <c r="D11" i="3"/>
  <c r="C14" i="3"/>
  <c r="D14" i="3" s="1"/>
  <c r="F5" i="5"/>
  <c r="F9" i="5"/>
  <c r="F17" i="5"/>
  <c r="J19" i="5"/>
  <c r="I4" i="5"/>
  <c r="G5" i="5"/>
  <c r="E6" i="5"/>
  <c r="I12" i="5"/>
  <c r="G13" i="5"/>
  <c r="E14" i="5"/>
  <c r="I16" i="5"/>
  <c r="G17" i="5"/>
  <c r="E18" i="5"/>
  <c r="I20" i="5"/>
  <c r="F2" i="5"/>
  <c r="H5" i="5"/>
  <c r="H9" i="5"/>
  <c r="F10" i="5"/>
  <c r="H13" i="5"/>
  <c r="F14" i="5"/>
  <c r="H17" i="5"/>
  <c r="F18" i="5"/>
  <c r="M7" i="3" l="1"/>
  <c r="D17" i="3"/>
  <c r="C17" i="3"/>
</calcChain>
</file>

<file path=xl/sharedStrings.xml><?xml version="1.0" encoding="utf-8"?>
<sst xmlns="http://schemas.openxmlformats.org/spreadsheetml/2006/main" count="390" uniqueCount="182">
  <si>
    <t>ID</t>
  </si>
  <si>
    <t>Épica</t>
  </si>
  <si>
    <t>Requisito</t>
  </si>
  <si>
    <t>Prioridad MoSCoW</t>
  </si>
  <si>
    <t>Justificación por valor</t>
  </si>
  <si>
    <t>Justificación por riesgo</t>
  </si>
  <si>
    <t>Justificación por dependencias</t>
  </si>
  <si>
    <t>Estimación Raúl (h)</t>
  </si>
  <si>
    <t>Estimación Alfonso (h)</t>
  </si>
  <si>
    <t>Estimación Juan Antonio (h)</t>
  </si>
  <si>
    <t>Estimación Javier (h)</t>
  </si>
  <si>
    <t>Estimación Manuel (h)</t>
  </si>
  <si>
    <t>Estimación inicial (h-persona)</t>
  </si>
  <si>
    <t>Estimación consensuada (h-persona)</t>
  </si>
  <si>
    <t>Dependencias</t>
  </si>
  <si>
    <t>Iteración</t>
  </si>
  <si>
    <t>Responsables y horas de requisitos</t>
  </si>
  <si>
    <t>Estado</t>
  </si>
  <si>
    <t>Orden de inicio en iteración</t>
  </si>
  <si>
    <t>US-001</t>
  </si>
  <si>
    <t>EP-001</t>
  </si>
  <si>
    <t>Registro de usuario</t>
  </si>
  <si>
    <t>MUST</t>
  </si>
  <si>
    <t>Es necesario para que los asistentes puedan disponer de una cuenta y utilizar las funcionalidades destinadas a usuarios registrados.</t>
  </si>
  <si>
    <t>Si el registro no funciona correctamente, los nuevos usuarios no podrán acceder a las funcionalidades que requieren una cuenta.</t>
  </si>
  <si>
    <t>Es requisito previo para US-002 cuando se trate de usuarios creados mediante registro.</t>
  </si>
  <si>
    <t>Ninguna</t>
  </si>
  <si>
    <t>IT-001</t>
  </si>
  <si>
    <t>Javi López (2 h) + Juan Antonio (2 h) + Raúl Arias (2 h)</t>
  </si>
  <si>
    <t>Pendiente</t>
  </si>
  <si>
    <t>US-002</t>
  </si>
  <si>
    <t>Inicio y cierre de sesión</t>
  </si>
  <si>
    <t>Es fundamental para identificar a los usuarios y permitir el acceso a las funcionalidades correspondientes a cada rol.</t>
  </si>
  <si>
    <t>Un fallo en la autenticación puede permitir accesos incorrectos o impedir el uso de gran parte de la plataforma.</t>
  </si>
  <si>
    <t>Es dependencia de US-003, US-004, US-006, US-007, US-008, US-010, US-011, US-013, US-014, US-016, US-018 y determinadas operaciones de US-019.</t>
  </si>
  <si>
    <t>IT-002</t>
  </si>
  <si>
    <t>Alfonso Guillén (4.5 h) + Raúl Arias (2.5 h)</t>
  </si>
  <si>
    <t>US-003</t>
  </si>
  <si>
    <t>Consulta y modificación del perfil</t>
  </si>
  <si>
    <t>SHOULD</t>
  </si>
  <si>
    <t>Aporta autonomía al usuario para consultar y mantener actualizada la información de su cuenta.</t>
  </si>
  <si>
    <t>Su ausencia reduce la experiencia del usuario, pero no impide el funcionamiento de las funcionalidades principales.</t>
  </si>
  <si>
    <t>Depende de US-002 para garantizar que cada usuario acceda a su propio perfil.</t>
  </si>
  <si>
    <t>IT-003</t>
  </si>
  <si>
    <t>Juan Antonio (2 h) + Raúl Arias (2 h)</t>
  </si>
  <si>
    <t>US-004</t>
  </si>
  <si>
    <t>Gestión de usuarios por administrador</t>
  </si>
  <si>
    <t>Permite al administrador controlar y mantener las cuentas utilizadas en la plataforma.</t>
  </si>
  <si>
    <t>Una gestión incorrecta de usuarios puede provocar problemas de permisos y de integridad de la información.</t>
  </si>
  <si>
    <t>Depende de US-002, ya que el administrador debe estar autenticado.</t>
  </si>
  <si>
    <t>IT-006</t>
  </si>
  <si>
    <t>Alfonso Guillén (2.25 h) + Juan Antonio (4.75 h)</t>
  </si>
  <si>
    <t>US-005</t>
  </si>
  <si>
    <t>EP-002</t>
  </si>
  <si>
    <t>Consulta de entradas disponibles</t>
  </si>
  <si>
    <t>La consulta de entradas es una de las funcionalidades principales de una plataforma relacionada con un festival.</t>
  </si>
  <si>
    <t>Si la información de disponibilidad es incorrecta, el usuario podría intentar adquirir entradas que no están disponibles.</t>
  </si>
  <si>
    <t>Es requisito previo para US-006 y está relacionada con US-008, que mantiene la información de las entradas.</t>
  </si>
  <si>
    <t>Javi López (2 h) + Manuel Lorenzo (2 h)</t>
  </si>
  <si>
    <t>US-006</t>
  </si>
  <si>
    <t>Adquisición simulada de entradas</t>
  </si>
  <si>
    <t>Permite representar una de las operaciones principales del sistema sin realizar pagos económicos reales.</t>
  </si>
  <si>
    <t>Un fallo puede producir adquisiciones incorrectas o inconsistencias en la disponibilidad de las entradas.</t>
  </si>
  <si>
    <t>Depende de US-002 para identificar al usuario y de US-005 para seleccionar una entrada disponible.</t>
  </si>
  <si>
    <t>US-002, US-005</t>
  </si>
  <si>
    <t>IT-004</t>
  </si>
  <si>
    <t>Javi López (3 h) + Manuel Lorenzo (3 h) + Juan Antonio (2 h)</t>
  </si>
  <si>
    <t>US-007</t>
  </si>
  <si>
    <t>Consulta de entradas adquiridas</t>
  </si>
  <si>
    <t>Permite al usuario revisar las entradas que tiene asociadas a su cuenta.</t>
  </si>
  <si>
    <t>Si falla, el usuario pierde visibilidad sobre sus adquisiciones, aunque el resto del sistema puede seguir funcionando.</t>
  </si>
  <si>
    <t>Depende de US-002 y US-006, ya que es necesario identificar al usuario y disponer de adquisiciones registradas.</t>
  </si>
  <si>
    <t>US-002, US-006</t>
  </si>
  <si>
    <t>IT-005</t>
  </si>
  <si>
    <t>US-008</t>
  </si>
  <si>
    <t>Gestión de entradas por administrador</t>
  </si>
  <si>
    <t>Permite mantener actualizado el catálogo y la disponibilidad de las entradas que posteriormente consultan los usuarios.</t>
  </si>
  <si>
    <t>Una gestión incorrecta puede provocar información errónea sobre tipos de entrada o disponibilidad.</t>
  </si>
  <si>
    <t>Depende de US-002 para el acceso administrativo y está relacionada con US-005 y US-006.</t>
  </si>
  <si>
    <t>Javi López (2.75 h) + Raúl Arias (4.25 h)</t>
  </si>
  <si>
    <t>US-009</t>
  </si>
  <si>
    <t>EP-003</t>
  </si>
  <si>
    <t>Consulta y filtrado de espacios disponibles</t>
  </si>
  <si>
    <t>Permite a los usuarios conocer y localizar los espacios disponibles en la plataforma.</t>
  </si>
  <si>
    <t>Información incorrecta sobre los espacios puede afectar a las funcionalidades posteriores relacionadas con ellos.</t>
  </si>
  <si>
    <t>Es requisito previo para US-010 y está relacionada con US-011.</t>
  </si>
  <si>
    <t>Manuel Lorenzo (5 h)</t>
  </si>
  <si>
    <t>US-010</t>
  </si>
  <si>
    <t>Reserva de un espacio</t>
  </si>
  <si>
    <t>Permite al usuario realizar una operación sobre los espacios consultados y amplía la utilidad del módulo.</t>
  </si>
  <si>
    <t>Una reserva incorrecta puede producir conflictos de disponibilidad o reservas duplicadas.</t>
  </si>
  <si>
    <t>Depende de US-002 para identificar al usuario y de US-009 para consultar los espacios disponibles.</t>
  </si>
  <si>
    <t>US-002, US-009</t>
  </si>
  <si>
    <t>Manuel Lorenzo (6 h) + Raúl Arias (2 h)</t>
  </si>
  <si>
    <t>US-011</t>
  </si>
  <si>
    <t>Gestión de espacios</t>
  </si>
  <si>
    <t>Permite mantener actualizada la información y disponibilidad de los espacios utilizados por el sistema.</t>
  </si>
  <si>
    <t>Una gestión incorrecta puede provocar que los usuarios consulten o intenten reservar espacios que no deberían estar disponibles.</t>
  </si>
  <si>
    <t>Depende de US-002 para controlar el acceso a las funciones de gestión y está relacionada con US-009 y US-010.</t>
  </si>
  <si>
    <t>Javi López (3 h) + Manuel Lorenzo (2 h) + Raúl Arias (2 h)</t>
  </si>
  <si>
    <t>US-012</t>
  </si>
  <si>
    <t>EP-004</t>
  </si>
  <si>
    <t>Consulta de servicios</t>
  </si>
  <si>
    <t>Permite conocer los servicios disponibles en Subsonic Festival y constituye la base funcional del módulo de servicios.</t>
  </si>
  <si>
    <t>Información incorrecta puede provocar que el usuario seleccione servicios que no están disponibles.</t>
  </si>
  <si>
    <t>Es requisito previo para US-013 y está relacionada con US-014.</t>
  </si>
  <si>
    <t>Juan Antonio (4 h)</t>
  </si>
  <si>
    <t>US-013</t>
  </si>
  <si>
    <t>Adquisición de un servicio</t>
  </si>
  <si>
    <t>Permite al usuario utilizar los servicios ofrecidos y aporta funcionalidad adicional a la plataforma.</t>
  </si>
  <si>
    <t>Un fallo puede producir operaciones incorrectas o asociaciones erróneas entre servicios y usuarios.</t>
  </si>
  <si>
    <t>Depende de US-002 para identificar al usuario y de US-012 para seleccionar un servicio disponible.</t>
  </si>
  <si>
    <t>US-002, US-012</t>
  </si>
  <si>
    <t>Javi López (2.5 h) + Alfonso Guillén (2.5 h) + Juan Antonio (2 h)</t>
  </si>
  <si>
    <t>US-014</t>
  </si>
  <si>
    <t>Gestión de servicios</t>
  </si>
  <si>
    <t>Permite mantener actualizada la información y disponibilidad de los servicios ofrecidos en la plataforma.</t>
  </si>
  <si>
    <t>Una gestión incorrecta puede provocar que se muestren servicios inexistentes o no disponibles.</t>
  </si>
  <si>
    <t>Depende de US-002 para controlar el acceso y está relacionada con US-012 y US-013.</t>
  </si>
  <si>
    <t>Javi López (2 h) + Manuel Lorenzo (3 h) + Raúl Arias (2 h)</t>
  </si>
  <si>
    <t>US-015</t>
  </si>
  <si>
    <t>EP-005</t>
  </si>
  <si>
    <t>Consulta de información de proveedores</t>
  </si>
  <si>
    <t>Permite consultar los proveedores asociados a la plataforma y conocer la información disponible sobre ellos.</t>
  </si>
  <si>
    <t>Un fallo afecta a la información mostrada al usuario, pero no bloquea las funcionalidades principales del sistema.</t>
  </si>
  <si>
    <t>Está relacionada con US-016, que mantiene actualizada la información de los proveedores.</t>
  </si>
  <si>
    <t>Alfonso Guillén (4 h)</t>
  </si>
  <si>
    <t>US-016</t>
  </si>
  <si>
    <t>Gestión de proveedores</t>
  </si>
  <si>
    <t>Permite mantener organizada y actualizada la información de los proveedores asociados a Subsonic Festival.</t>
  </si>
  <si>
    <t>Una gestión incorrecta puede generar información incoherente o proveedores no válidos dentro de la plataforma.</t>
  </si>
  <si>
    <t>Depende de US-002 para restringir la gestión a usuarios autorizados y está relacionada con US-015.</t>
  </si>
  <si>
    <t>US-002, US-015</t>
  </si>
  <si>
    <t>Alfonso Guillén (6 h)</t>
  </si>
  <si>
    <t>US-017</t>
  </si>
  <si>
    <t>EP-006</t>
  </si>
  <si>
    <t>Consulta de productos de merchandising</t>
  </si>
  <si>
    <t>COULD</t>
  </si>
  <si>
    <t>Aporta una funcionalidad complementaria al festival al permitir consultar productos de merchandising.</t>
  </si>
  <si>
    <t>Su ausencia reduce las funcionalidades disponibles, pero no afecta al funcionamiento de los módulos principales del sistema.</t>
  </si>
  <si>
    <t>Es requisito previo para US-018.</t>
  </si>
  <si>
    <t>US-018</t>
  </si>
  <si>
    <t>Adquisición simulada y gestión de merchandising</t>
  </si>
  <si>
    <t>Añade valor complementario mediante la simulación de adquisiciones y la administración del catálogo de merchandising.</t>
  </si>
  <si>
    <t>Los errores pueden producir inconsistencias en productos o adquisiciones, pero el módulo no es crítico para el funcionamiento principal de Subsonic Festival.</t>
  </si>
  <si>
    <t>Depende de US-002 para las operaciones que requieren autenticación y de US-017 para consultar los productos disponibles.</t>
  </si>
  <si>
    <t>US-002, US-017</t>
  </si>
  <si>
    <t>Javi López (3.75 h) + Juan Antonio (4.25 h)</t>
  </si>
  <si>
    <t>US-019</t>
  </si>
  <si>
    <t>EP-007</t>
  </si>
  <si>
    <t>Registro y gestión de incidencias</t>
  </si>
  <si>
    <t>Permite comunicar problemas y realizar un seguimiento organizado de las incidencias registradas en la plataforma.</t>
  </si>
  <si>
    <t>Si no está disponible, los usuarios pierden un mecanismo de comunicación de problemas, aunque las funciones principales pueden seguir utilizándose.</t>
  </si>
  <si>
    <t>Depende de US-002 para aquellas operaciones que requieran identificar al usuario o acceder a funciones administrativas.</t>
  </si>
  <si>
    <t>Alfonso Guillén (3.75 h) + Raúl Arias (4.25 h)</t>
  </si>
  <si>
    <t>TOTAL</t>
  </si>
  <si>
    <t>Historia</t>
  </si>
  <si>
    <t>Estimación requisito (h)</t>
  </si>
  <si>
    <t>Javi López</t>
  </si>
  <si>
    <t>Alfonso Guillén</t>
  </si>
  <si>
    <t>Manuel Lorenzo</t>
  </si>
  <si>
    <t>Juan Antonio</t>
  </si>
  <si>
    <t>Raúl Arias</t>
  </si>
  <si>
    <t>Total repartido (h)</t>
  </si>
  <si>
    <t>Diferencia (h)</t>
  </si>
  <si>
    <t>Comprobación</t>
  </si>
  <si>
    <t>Integrante</t>
  </si>
  <si>
    <t>Capacidad semanal (h)</t>
  </si>
  <si>
    <t>Total requisitos (h)</t>
  </si>
  <si>
    <t>Capacidad 6 semanas (h)</t>
  </si>
  <si>
    <t>Horas disponibles (h)</t>
  </si>
  <si>
    <t>Tarifa (€/h)</t>
  </si>
  <si>
    <t>Coste requisitos (€)</t>
  </si>
  <si>
    <t>TOTAL EQUIPO</t>
  </si>
  <si>
    <t>Horas requisitos</t>
  </si>
  <si>
    <t>Capacidad equipo (h)</t>
  </si>
  <si>
    <t>Horas disponibles</t>
  </si>
  <si>
    <t>Predecesora</t>
  </si>
  <si>
    <t>Iteración historia</t>
  </si>
  <si>
    <t>Iteración predecesora</t>
  </si>
  <si>
    <t>Horas requisito</t>
  </si>
  <si>
    <t>72,50 (para reuniones y revisiones)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</si>
</sst>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6324F"/>
      <name val="Carlito"/>
    </font>
    <font>
      <sz val="11"/>
      <color rgb="FF087F8C"/>
      <name val="Carlito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2" fillId="3" borderId="0" xfId="0" applyFont="1" applyFill="1" applyAlignment="1"/>
    <xf numFmtId="0" fontId="0" fillId="5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13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opLeftCell="L1" zoomScale="70" zoomScaleNormal="70" workbookViewId="0">
      <pane ySplit="1" topLeftCell="A3" activePane="bottomLeft" state="frozen"/>
      <selection pane="bottomLeft" activeCell="S23" sqref="S23"/>
    </sheetView>
  </sheetViews>
  <sheetFormatPr baseColWidth="10" defaultColWidth="8.796875" defaultRowHeight="13.8"/>
  <cols>
    <col min="1" max="2" width="12" customWidth="1"/>
    <col min="3" max="3" width="43" customWidth="1"/>
    <col min="4" max="4" width="16" customWidth="1"/>
    <col min="5" max="5" width="39.3984375" customWidth="1"/>
    <col min="6" max="6" width="40.5" customWidth="1"/>
    <col min="7" max="7" width="40.19921875" customWidth="1"/>
    <col min="8" max="12" width="13" customWidth="1"/>
    <col min="13" max="13" width="19" customWidth="1"/>
    <col min="14" max="14" width="20" customWidth="1"/>
    <col min="15" max="15" width="26" customWidth="1"/>
    <col min="16" max="16" width="15" customWidth="1"/>
    <col min="17" max="17" width="60" customWidth="1"/>
    <col min="18" max="18" width="15" customWidth="1"/>
    <col min="19" max="19" width="17" customWidth="1"/>
  </cols>
  <sheetData>
    <row r="1" spans="1:19" ht="31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43.95" customHeight="1">
      <c r="A2" s="15" t="s">
        <v>19</v>
      </c>
      <c r="B2" s="15" t="s">
        <v>20</v>
      </c>
      <c r="C2" s="17" t="s">
        <v>21</v>
      </c>
      <c r="D2" s="15" t="s">
        <v>22</v>
      </c>
      <c r="E2" s="1" t="s">
        <v>23</v>
      </c>
      <c r="F2" s="1" t="s">
        <v>24</v>
      </c>
      <c r="G2" s="1" t="s">
        <v>25</v>
      </c>
      <c r="H2" s="15">
        <v>6</v>
      </c>
      <c r="I2" s="15">
        <v>7</v>
      </c>
      <c r="J2" s="15">
        <v>8</v>
      </c>
      <c r="K2" s="15">
        <v>7</v>
      </c>
      <c r="L2" s="15">
        <v>8</v>
      </c>
      <c r="M2" s="15">
        <v>7</v>
      </c>
      <c r="N2" s="15">
        <v>6</v>
      </c>
      <c r="O2" s="15" t="s">
        <v>26</v>
      </c>
      <c r="P2" s="15" t="s">
        <v>27</v>
      </c>
      <c r="Q2" s="17" t="s">
        <v>28</v>
      </c>
      <c r="R2" s="15" t="s">
        <v>29</v>
      </c>
      <c r="S2" s="15">
        <v>1</v>
      </c>
    </row>
    <row r="3" spans="1:19" ht="43.95" customHeight="1">
      <c r="A3" s="16" t="s">
        <v>30</v>
      </c>
      <c r="B3" s="16" t="s">
        <v>20</v>
      </c>
      <c r="C3" s="18" t="s">
        <v>31</v>
      </c>
      <c r="D3" s="16" t="s">
        <v>22</v>
      </c>
      <c r="E3" s="14" t="s">
        <v>32</v>
      </c>
      <c r="F3" s="14" t="s">
        <v>33</v>
      </c>
      <c r="G3" s="14" t="s">
        <v>34</v>
      </c>
      <c r="H3" s="16">
        <v>7</v>
      </c>
      <c r="I3" s="16">
        <v>8</v>
      </c>
      <c r="J3" s="16">
        <v>9</v>
      </c>
      <c r="K3" s="16">
        <v>8</v>
      </c>
      <c r="L3" s="16">
        <v>9</v>
      </c>
      <c r="M3" s="16">
        <v>8</v>
      </c>
      <c r="N3" s="16">
        <v>7</v>
      </c>
      <c r="O3" s="16" t="s">
        <v>19</v>
      </c>
      <c r="P3" s="16" t="s">
        <v>35</v>
      </c>
      <c r="Q3" s="18" t="s">
        <v>36</v>
      </c>
      <c r="R3" s="16" t="s">
        <v>29</v>
      </c>
      <c r="S3" s="16">
        <v>1</v>
      </c>
    </row>
    <row r="4" spans="1:19" ht="43.95" customHeight="1">
      <c r="A4" s="15" t="s">
        <v>37</v>
      </c>
      <c r="B4" s="15" t="s">
        <v>20</v>
      </c>
      <c r="C4" s="17" t="s">
        <v>38</v>
      </c>
      <c r="D4" s="15" t="s">
        <v>39</v>
      </c>
      <c r="E4" s="1" t="s">
        <v>40</v>
      </c>
      <c r="F4" s="1" t="s">
        <v>41</v>
      </c>
      <c r="G4" s="1" t="s">
        <v>42</v>
      </c>
      <c r="H4" s="15">
        <v>4</v>
      </c>
      <c r="I4" s="15">
        <v>5</v>
      </c>
      <c r="J4" s="15">
        <v>6</v>
      </c>
      <c r="K4" s="15">
        <v>5</v>
      </c>
      <c r="L4" s="15">
        <v>5</v>
      </c>
      <c r="M4" s="15">
        <v>5</v>
      </c>
      <c r="N4" s="15">
        <v>4</v>
      </c>
      <c r="O4" s="15" t="s">
        <v>30</v>
      </c>
      <c r="P4" s="15" t="s">
        <v>43</v>
      </c>
      <c r="Q4" s="17" t="s">
        <v>44</v>
      </c>
      <c r="R4" s="15" t="s">
        <v>29</v>
      </c>
      <c r="S4" s="15">
        <v>1</v>
      </c>
    </row>
    <row r="5" spans="1:19" ht="43.95" customHeight="1">
      <c r="A5" s="16" t="s">
        <v>45</v>
      </c>
      <c r="B5" s="16" t="s">
        <v>20</v>
      </c>
      <c r="C5" s="18" t="s">
        <v>46</v>
      </c>
      <c r="D5" s="16" t="s">
        <v>22</v>
      </c>
      <c r="E5" s="14" t="s">
        <v>47</v>
      </c>
      <c r="F5" s="14" t="s">
        <v>48</v>
      </c>
      <c r="G5" s="14" t="s">
        <v>49</v>
      </c>
      <c r="H5" s="16">
        <v>7</v>
      </c>
      <c r="I5" s="16">
        <v>8</v>
      </c>
      <c r="J5" s="16">
        <v>9</v>
      </c>
      <c r="K5" s="16">
        <v>8</v>
      </c>
      <c r="L5" s="16">
        <v>9</v>
      </c>
      <c r="M5" s="16">
        <v>8</v>
      </c>
      <c r="N5" s="16">
        <v>7</v>
      </c>
      <c r="O5" s="16" t="s">
        <v>30</v>
      </c>
      <c r="P5" s="16" t="s">
        <v>50</v>
      </c>
      <c r="Q5" s="18" t="s">
        <v>51</v>
      </c>
      <c r="R5" s="16" t="s">
        <v>29</v>
      </c>
      <c r="S5" s="16">
        <v>1</v>
      </c>
    </row>
    <row r="6" spans="1:19" ht="43.95" customHeight="1">
      <c r="A6" s="15" t="s">
        <v>52</v>
      </c>
      <c r="B6" s="15" t="s">
        <v>53</v>
      </c>
      <c r="C6" s="17" t="s">
        <v>54</v>
      </c>
      <c r="D6" s="15" t="s">
        <v>22</v>
      </c>
      <c r="E6" s="1" t="s">
        <v>55</v>
      </c>
      <c r="F6" s="1" t="s">
        <v>56</v>
      </c>
      <c r="G6" s="1" t="s">
        <v>57</v>
      </c>
      <c r="H6" s="15">
        <v>4</v>
      </c>
      <c r="I6" s="15">
        <v>5</v>
      </c>
      <c r="J6" s="15">
        <v>6</v>
      </c>
      <c r="K6" s="15">
        <v>5</v>
      </c>
      <c r="L6" s="15">
        <v>5</v>
      </c>
      <c r="M6" s="15">
        <v>5</v>
      </c>
      <c r="N6" s="15">
        <v>4</v>
      </c>
      <c r="O6" s="15" t="s">
        <v>26</v>
      </c>
      <c r="P6" s="15" t="s">
        <v>35</v>
      </c>
      <c r="Q6" s="17" t="s">
        <v>58</v>
      </c>
      <c r="R6" s="15" t="s">
        <v>29</v>
      </c>
      <c r="S6" s="15">
        <v>2</v>
      </c>
    </row>
    <row r="7" spans="1:19" ht="43.95" customHeight="1">
      <c r="A7" s="16" t="s">
        <v>59</v>
      </c>
      <c r="B7" s="16" t="s">
        <v>53</v>
      </c>
      <c r="C7" s="18" t="s">
        <v>60</v>
      </c>
      <c r="D7" s="16" t="s">
        <v>22</v>
      </c>
      <c r="E7" s="14" t="s">
        <v>61</v>
      </c>
      <c r="F7" s="14" t="s">
        <v>62</v>
      </c>
      <c r="G7" s="14" t="s">
        <v>63</v>
      </c>
      <c r="H7" s="16">
        <v>8</v>
      </c>
      <c r="I7" s="16">
        <v>9</v>
      </c>
      <c r="J7" s="16">
        <v>10</v>
      </c>
      <c r="K7" s="16">
        <v>9</v>
      </c>
      <c r="L7" s="16">
        <v>10</v>
      </c>
      <c r="M7" s="16">
        <v>9</v>
      </c>
      <c r="N7" s="16">
        <v>8</v>
      </c>
      <c r="O7" s="16" t="s">
        <v>64</v>
      </c>
      <c r="P7" s="16" t="s">
        <v>65</v>
      </c>
      <c r="Q7" s="18" t="s">
        <v>66</v>
      </c>
      <c r="R7" s="16" t="s">
        <v>29</v>
      </c>
      <c r="S7" s="16">
        <v>1</v>
      </c>
    </row>
    <row r="8" spans="1:19" ht="43.95" customHeight="1">
      <c r="A8" s="15" t="s">
        <v>67</v>
      </c>
      <c r="B8" s="15" t="s">
        <v>53</v>
      </c>
      <c r="C8" s="17" t="s">
        <v>68</v>
      </c>
      <c r="D8" s="15" t="s">
        <v>39</v>
      </c>
      <c r="E8" s="1" t="s">
        <v>69</v>
      </c>
      <c r="F8" s="1" t="s">
        <v>70</v>
      </c>
      <c r="G8" s="1" t="s">
        <v>71</v>
      </c>
      <c r="H8" s="15">
        <v>4</v>
      </c>
      <c r="I8" s="15">
        <v>5</v>
      </c>
      <c r="J8" s="15">
        <v>6</v>
      </c>
      <c r="K8" s="15">
        <v>5</v>
      </c>
      <c r="L8" s="15">
        <v>5</v>
      </c>
      <c r="M8" s="15">
        <v>5</v>
      </c>
      <c r="N8" s="15">
        <v>4</v>
      </c>
      <c r="O8" s="15" t="s">
        <v>72</v>
      </c>
      <c r="P8" s="15" t="s">
        <v>73</v>
      </c>
      <c r="Q8" s="17" t="s">
        <v>44</v>
      </c>
      <c r="R8" s="15" t="s">
        <v>29</v>
      </c>
      <c r="S8" s="15">
        <v>1</v>
      </c>
    </row>
    <row r="9" spans="1:19" ht="43.95" customHeight="1">
      <c r="A9" s="16" t="s">
        <v>74</v>
      </c>
      <c r="B9" s="16" t="s">
        <v>53</v>
      </c>
      <c r="C9" s="18" t="s">
        <v>75</v>
      </c>
      <c r="D9" s="16" t="s">
        <v>22</v>
      </c>
      <c r="E9" s="14" t="s">
        <v>76</v>
      </c>
      <c r="F9" s="14" t="s">
        <v>77</v>
      </c>
      <c r="G9" s="14" t="s">
        <v>78</v>
      </c>
      <c r="H9" s="16">
        <v>7</v>
      </c>
      <c r="I9" s="16">
        <v>8</v>
      </c>
      <c r="J9" s="16">
        <v>9</v>
      </c>
      <c r="K9" s="16">
        <v>8</v>
      </c>
      <c r="L9" s="16">
        <v>9</v>
      </c>
      <c r="M9" s="16">
        <v>8</v>
      </c>
      <c r="N9" s="16">
        <v>7</v>
      </c>
      <c r="O9" s="16" t="s">
        <v>64</v>
      </c>
      <c r="P9" s="16" t="s">
        <v>43</v>
      </c>
      <c r="Q9" s="18" t="s">
        <v>79</v>
      </c>
      <c r="R9" s="16" t="s">
        <v>29</v>
      </c>
      <c r="S9" s="16">
        <v>2</v>
      </c>
    </row>
    <row r="10" spans="1:19" ht="43.95" customHeight="1">
      <c r="A10" s="15" t="s">
        <v>80</v>
      </c>
      <c r="B10" s="15" t="s">
        <v>81</v>
      </c>
      <c r="C10" s="17" t="s">
        <v>82</v>
      </c>
      <c r="D10" s="15" t="s">
        <v>22</v>
      </c>
      <c r="E10" s="1" t="s">
        <v>83</v>
      </c>
      <c r="F10" s="1" t="s">
        <v>84</v>
      </c>
      <c r="G10" s="1" t="s">
        <v>85</v>
      </c>
      <c r="H10" s="15">
        <v>5</v>
      </c>
      <c r="I10" s="15">
        <v>6</v>
      </c>
      <c r="J10" s="15">
        <v>7</v>
      </c>
      <c r="K10" s="15">
        <v>6</v>
      </c>
      <c r="L10" s="15">
        <v>6</v>
      </c>
      <c r="M10" s="15">
        <v>6</v>
      </c>
      <c r="N10" s="15">
        <v>5</v>
      </c>
      <c r="O10" s="15" t="s">
        <v>26</v>
      </c>
      <c r="P10" s="15" t="s">
        <v>27</v>
      </c>
      <c r="Q10" s="17" t="s">
        <v>86</v>
      </c>
      <c r="R10" s="15" t="s">
        <v>29</v>
      </c>
      <c r="S10" s="15">
        <v>2</v>
      </c>
    </row>
    <row r="11" spans="1:19" ht="43.95" customHeight="1">
      <c r="A11" s="16" t="s">
        <v>87</v>
      </c>
      <c r="B11" s="16" t="s">
        <v>81</v>
      </c>
      <c r="C11" s="18" t="s">
        <v>88</v>
      </c>
      <c r="D11" s="16" t="s">
        <v>39</v>
      </c>
      <c r="E11" s="14" t="s">
        <v>89</v>
      </c>
      <c r="F11" s="14" t="s">
        <v>90</v>
      </c>
      <c r="G11" s="14" t="s">
        <v>91</v>
      </c>
      <c r="H11" s="16">
        <v>8</v>
      </c>
      <c r="I11" s="16">
        <v>9</v>
      </c>
      <c r="J11" s="16">
        <v>10</v>
      </c>
      <c r="K11" s="16">
        <v>9</v>
      </c>
      <c r="L11" s="16">
        <v>10</v>
      </c>
      <c r="M11" s="16">
        <v>9</v>
      </c>
      <c r="N11" s="16">
        <v>8</v>
      </c>
      <c r="O11" s="16" t="s">
        <v>92</v>
      </c>
      <c r="P11" s="16" t="s">
        <v>73</v>
      </c>
      <c r="Q11" s="18" t="s">
        <v>93</v>
      </c>
      <c r="R11" s="16" t="s">
        <v>29</v>
      </c>
      <c r="S11" s="16">
        <v>2</v>
      </c>
    </row>
    <row r="12" spans="1:19" ht="43.95" customHeight="1">
      <c r="A12" s="15" t="s">
        <v>94</v>
      </c>
      <c r="B12" s="15" t="s">
        <v>81</v>
      </c>
      <c r="C12" s="17" t="s">
        <v>95</v>
      </c>
      <c r="D12" s="15" t="s">
        <v>22</v>
      </c>
      <c r="E12" s="1" t="s">
        <v>96</v>
      </c>
      <c r="F12" s="1" t="s">
        <v>97</v>
      </c>
      <c r="G12" s="1" t="s">
        <v>98</v>
      </c>
      <c r="H12" s="15">
        <v>7</v>
      </c>
      <c r="I12" s="15">
        <v>8</v>
      </c>
      <c r="J12" s="15">
        <v>9</v>
      </c>
      <c r="K12" s="15">
        <v>8</v>
      </c>
      <c r="L12" s="15">
        <v>9</v>
      </c>
      <c r="M12" s="15">
        <v>8</v>
      </c>
      <c r="N12" s="15">
        <v>7</v>
      </c>
      <c r="O12" s="15" t="s">
        <v>92</v>
      </c>
      <c r="P12" s="15" t="s">
        <v>50</v>
      </c>
      <c r="Q12" s="17" t="s">
        <v>99</v>
      </c>
      <c r="R12" s="15" t="s">
        <v>29</v>
      </c>
      <c r="S12" s="15">
        <v>2</v>
      </c>
    </row>
    <row r="13" spans="1:19" ht="43.95" customHeight="1">
      <c r="A13" s="16" t="s">
        <v>100</v>
      </c>
      <c r="B13" s="16" t="s">
        <v>101</v>
      </c>
      <c r="C13" s="18" t="s">
        <v>102</v>
      </c>
      <c r="D13" s="16" t="s">
        <v>22</v>
      </c>
      <c r="E13" s="14" t="s">
        <v>103</v>
      </c>
      <c r="F13" s="14" t="s">
        <v>104</v>
      </c>
      <c r="G13" s="14" t="s">
        <v>105</v>
      </c>
      <c r="H13" s="16">
        <v>4</v>
      </c>
      <c r="I13" s="16">
        <v>5</v>
      </c>
      <c r="J13" s="16">
        <v>6</v>
      </c>
      <c r="K13" s="16">
        <v>5</v>
      </c>
      <c r="L13" s="16">
        <v>5</v>
      </c>
      <c r="M13" s="16">
        <v>5</v>
      </c>
      <c r="N13" s="16">
        <v>4</v>
      </c>
      <c r="O13" s="16" t="s">
        <v>26</v>
      </c>
      <c r="P13" s="16" t="s">
        <v>35</v>
      </c>
      <c r="Q13" s="18" t="s">
        <v>106</v>
      </c>
      <c r="R13" s="16" t="s">
        <v>29</v>
      </c>
      <c r="S13" s="16">
        <v>3</v>
      </c>
    </row>
    <row r="14" spans="1:19" ht="43.95" customHeight="1">
      <c r="A14" s="15" t="s">
        <v>107</v>
      </c>
      <c r="B14" s="15" t="s">
        <v>101</v>
      </c>
      <c r="C14" s="17" t="s">
        <v>108</v>
      </c>
      <c r="D14" s="15" t="s">
        <v>39</v>
      </c>
      <c r="E14" s="1" t="s">
        <v>109</v>
      </c>
      <c r="F14" s="1" t="s">
        <v>110</v>
      </c>
      <c r="G14" s="1" t="s">
        <v>111</v>
      </c>
      <c r="H14" s="15">
        <v>7</v>
      </c>
      <c r="I14" s="15">
        <v>8</v>
      </c>
      <c r="J14" s="15">
        <v>9</v>
      </c>
      <c r="K14" s="15">
        <v>8</v>
      </c>
      <c r="L14" s="15">
        <v>9</v>
      </c>
      <c r="M14" s="15">
        <v>8</v>
      </c>
      <c r="N14" s="15">
        <v>7</v>
      </c>
      <c r="O14" s="15" t="s">
        <v>112</v>
      </c>
      <c r="P14" s="15" t="s">
        <v>43</v>
      </c>
      <c r="Q14" s="17" t="s">
        <v>113</v>
      </c>
      <c r="R14" s="15" t="s">
        <v>29</v>
      </c>
      <c r="S14" s="15">
        <v>3</v>
      </c>
    </row>
    <row r="15" spans="1:19" ht="43.95" customHeight="1">
      <c r="A15" s="16" t="s">
        <v>114</v>
      </c>
      <c r="B15" s="16" t="s">
        <v>101</v>
      </c>
      <c r="C15" s="18" t="s">
        <v>115</v>
      </c>
      <c r="D15" s="16" t="s">
        <v>22</v>
      </c>
      <c r="E15" s="14" t="s">
        <v>116</v>
      </c>
      <c r="F15" s="14" t="s">
        <v>117</v>
      </c>
      <c r="G15" s="14" t="s">
        <v>118</v>
      </c>
      <c r="H15" s="16">
        <v>7</v>
      </c>
      <c r="I15" s="16">
        <v>8</v>
      </c>
      <c r="J15" s="16">
        <v>9</v>
      </c>
      <c r="K15" s="16">
        <v>8</v>
      </c>
      <c r="L15" s="16">
        <v>9</v>
      </c>
      <c r="M15" s="16">
        <v>8</v>
      </c>
      <c r="N15" s="16">
        <v>7</v>
      </c>
      <c r="O15" s="16" t="s">
        <v>112</v>
      </c>
      <c r="P15" s="16" t="s">
        <v>50</v>
      </c>
      <c r="Q15" s="18" t="s">
        <v>119</v>
      </c>
      <c r="R15" s="16" t="s">
        <v>29</v>
      </c>
      <c r="S15" s="16">
        <v>3</v>
      </c>
    </row>
    <row r="16" spans="1:19" ht="43.95" customHeight="1">
      <c r="A16" s="15" t="s">
        <v>120</v>
      </c>
      <c r="B16" s="15" t="s">
        <v>121</v>
      </c>
      <c r="C16" s="17" t="s">
        <v>122</v>
      </c>
      <c r="D16" s="15" t="s">
        <v>39</v>
      </c>
      <c r="E16" s="1" t="s">
        <v>123</v>
      </c>
      <c r="F16" s="1" t="s">
        <v>124</v>
      </c>
      <c r="G16" s="1" t="s">
        <v>125</v>
      </c>
      <c r="H16" s="15">
        <v>4</v>
      </c>
      <c r="I16" s="15">
        <v>5</v>
      </c>
      <c r="J16" s="15">
        <v>6</v>
      </c>
      <c r="K16" s="15">
        <v>5</v>
      </c>
      <c r="L16" s="15">
        <v>5</v>
      </c>
      <c r="M16" s="15">
        <v>5</v>
      </c>
      <c r="N16" s="15">
        <v>4</v>
      </c>
      <c r="O16" s="15" t="s">
        <v>26</v>
      </c>
      <c r="P16" s="15" t="s">
        <v>27</v>
      </c>
      <c r="Q16" s="17" t="s">
        <v>126</v>
      </c>
      <c r="R16" s="15" t="s">
        <v>29</v>
      </c>
      <c r="S16" s="15">
        <v>3</v>
      </c>
    </row>
    <row r="17" spans="1:19" ht="43.95" customHeight="1">
      <c r="A17" s="16" t="s">
        <v>127</v>
      </c>
      <c r="B17" s="16" t="s">
        <v>121</v>
      </c>
      <c r="C17" s="18" t="s">
        <v>128</v>
      </c>
      <c r="D17" s="16" t="s">
        <v>22</v>
      </c>
      <c r="E17" s="14" t="s">
        <v>129</v>
      </c>
      <c r="F17" s="14" t="s">
        <v>130</v>
      </c>
      <c r="G17" s="14" t="s">
        <v>131</v>
      </c>
      <c r="H17" s="16">
        <v>6</v>
      </c>
      <c r="I17" s="16">
        <v>7</v>
      </c>
      <c r="J17" s="16">
        <v>8</v>
      </c>
      <c r="K17" s="16">
        <v>7</v>
      </c>
      <c r="L17" s="16">
        <v>8</v>
      </c>
      <c r="M17" s="16">
        <v>7</v>
      </c>
      <c r="N17" s="16">
        <v>6</v>
      </c>
      <c r="O17" s="16" t="s">
        <v>132</v>
      </c>
      <c r="P17" s="16" t="s">
        <v>73</v>
      </c>
      <c r="Q17" s="18" t="s">
        <v>133</v>
      </c>
      <c r="R17" s="16" t="s">
        <v>29</v>
      </c>
      <c r="S17" s="16">
        <v>3</v>
      </c>
    </row>
    <row r="18" spans="1:19" ht="43.95" customHeight="1">
      <c r="A18" s="15" t="s">
        <v>134</v>
      </c>
      <c r="B18" s="15" t="s">
        <v>135</v>
      </c>
      <c r="C18" s="17" t="s">
        <v>136</v>
      </c>
      <c r="D18" s="15" t="s">
        <v>137</v>
      </c>
      <c r="E18" s="1" t="s">
        <v>138</v>
      </c>
      <c r="F18" s="1" t="s">
        <v>139</v>
      </c>
      <c r="G18" s="1" t="s">
        <v>140</v>
      </c>
      <c r="H18" s="15">
        <v>4</v>
      </c>
      <c r="I18" s="15">
        <v>5</v>
      </c>
      <c r="J18" s="15">
        <v>6</v>
      </c>
      <c r="K18" s="15">
        <v>5</v>
      </c>
      <c r="L18" s="15">
        <v>5</v>
      </c>
      <c r="M18" s="15">
        <v>5</v>
      </c>
      <c r="N18" s="15">
        <v>4</v>
      </c>
      <c r="O18" s="15" t="s">
        <v>26</v>
      </c>
      <c r="P18" s="15" t="s">
        <v>65</v>
      </c>
      <c r="Q18" s="17" t="s">
        <v>58</v>
      </c>
      <c r="R18" s="15" t="s">
        <v>29</v>
      </c>
      <c r="S18" s="15">
        <v>3</v>
      </c>
    </row>
    <row r="19" spans="1:19" ht="43.95" customHeight="1">
      <c r="A19" s="16" t="s">
        <v>141</v>
      </c>
      <c r="B19" s="16" t="s">
        <v>135</v>
      </c>
      <c r="C19" s="18" t="s">
        <v>142</v>
      </c>
      <c r="D19" s="16" t="s">
        <v>137</v>
      </c>
      <c r="E19" s="14" t="s">
        <v>143</v>
      </c>
      <c r="F19" s="14" t="s">
        <v>144</v>
      </c>
      <c r="G19" s="14" t="s">
        <v>145</v>
      </c>
      <c r="H19" s="16">
        <v>9</v>
      </c>
      <c r="I19" s="16">
        <v>10</v>
      </c>
      <c r="J19" s="16">
        <v>11</v>
      </c>
      <c r="K19" s="16">
        <v>10</v>
      </c>
      <c r="L19" s="16">
        <v>11</v>
      </c>
      <c r="M19" s="16">
        <v>10</v>
      </c>
      <c r="N19" s="16">
        <v>8</v>
      </c>
      <c r="O19" s="16" t="s">
        <v>146</v>
      </c>
      <c r="P19" s="16" t="s">
        <v>73</v>
      </c>
      <c r="Q19" s="18" t="s">
        <v>147</v>
      </c>
      <c r="R19" s="16" t="s">
        <v>29</v>
      </c>
      <c r="S19" s="16">
        <v>4</v>
      </c>
    </row>
    <row r="20" spans="1:19" ht="43.95" customHeight="1">
      <c r="A20" s="15" t="s">
        <v>148</v>
      </c>
      <c r="B20" s="15" t="s">
        <v>149</v>
      </c>
      <c r="C20" s="17" t="s">
        <v>150</v>
      </c>
      <c r="D20" s="15" t="s">
        <v>39</v>
      </c>
      <c r="E20" s="1" t="s">
        <v>151</v>
      </c>
      <c r="F20" s="1" t="s">
        <v>152</v>
      </c>
      <c r="G20" s="1" t="s">
        <v>153</v>
      </c>
      <c r="H20" s="15">
        <v>8</v>
      </c>
      <c r="I20" s="15">
        <v>9</v>
      </c>
      <c r="J20" s="15">
        <v>10</v>
      </c>
      <c r="K20" s="15">
        <v>9</v>
      </c>
      <c r="L20" s="15">
        <v>10</v>
      </c>
      <c r="M20" s="15">
        <v>9</v>
      </c>
      <c r="N20" s="15">
        <v>8</v>
      </c>
      <c r="O20" s="15" t="s">
        <v>30</v>
      </c>
      <c r="P20" s="15" t="s">
        <v>65</v>
      </c>
      <c r="Q20" s="17" t="s">
        <v>154</v>
      </c>
      <c r="R20" s="15" t="s">
        <v>29</v>
      </c>
      <c r="S20" s="15">
        <v>2</v>
      </c>
    </row>
    <row r="21" spans="1:19" ht="22.95" customHeight="1">
      <c r="A21" s="13" t="s">
        <v>155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>
        <f>SUM(M2:M20)</f>
        <v>135</v>
      </c>
      <c r="N21" s="13">
        <f>SUM(N2:N20)</f>
        <v>115</v>
      </c>
      <c r="O21" s="13"/>
      <c r="P21" s="13"/>
      <c r="Q21" s="13"/>
      <c r="R21" s="13"/>
      <c r="S21" s="13"/>
    </row>
  </sheetData>
  <conditionalFormatting sqref="D2">
    <cfRule type="containsText" dxfId="30" priority="16" operator="containsText" text="MUST">
      <formula>NOT(ISERROR(SEARCH("MUST",D2)))</formula>
    </cfRule>
  </conditionalFormatting>
  <conditionalFormatting sqref="D3">
    <cfRule type="containsText" dxfId="29" priority="15" operator="containsText" text="MUST">
      <formula>NOT(ISERROR(SEARCH("MUST",D3)))</formula>
    </cfRule>
  </conditionalFormatting>
  <conditionalFormatting sqref="D6">
    <cfRule type="containsText" dxfId="27" priority="13" operator="containsText" text="MUST">
      <formula>NOT(ISERROR(SEARCH("MUST",D6)))</formula>
    </cfRule>
  </conditionalFormatting>
  <conditionalFormatting sqref="D7">
    <cfRule type="containsText" dxfId="26" priority="12" operator="containsText" text="MUST">
      <formula>NOT(ISERROR(SEARCH("MUST",D7)))</formula>
    </cfRule>
  </conditionalFormatting>
  <conditionalFormatting sqref="D9:D10">
    <cfRule type="containsText" dxfId="25" priority="11" operator="containsText" text="MUST">
      <formula>NOT(ISERROR(SEARCH("MUST",D9)))</formula>
    </cfRule>
  </conditionalFormatting>
  <conditionalFormatting sqref="D12:D13">
    <cfRule type="containsText" dxfId="23" priority="9" operator="containsText" text="MUST">
      <formula>NOT(ISERROR(SEARCH("MUST",D12)))</formula>
    </cfRule>
  </conditionalFormatting>
  <conditionalFormatting sqref="D15">
    <cfRule type="containsText" dxfId="22" priority="8" operator="containsText" text="MUST">
      <formula>NOT(ISERROR(SEARCH("MUST",D15)))</formula>
    </cfRule>
  </conditionalFormatting>
  <conditionalFormatting sqref="D17">
    <cfRule type="containsText" dxfId="21" priority="7" operator="containsText" text="MUST">
      <formula>NOT(ISERROR(SEARCH("MUST",D17)))</formula>
    </cfRule>
  </conditionalFormatting>
  <conditionalFormatting sqref="D18:D19">
    <cfRule type="containsText" dxfId="20" priority="6" operator="containsText" text="COULD">
      <formula>NOT(ISERROR(SEARCH("COULD",D18)))</formula>
    </cfRule>
  </conditionalFormatting>
  <conditionalFormatting sqref="D20">
    <cfRule type="containsText" dxfId="19" priority="5" operator="containsText" text="SHOULD">
      <formula>NOT(ISERROR(SEARCH("SHOULD",D20)))</formula>
    </cfRule>
  </conditionalFormatting>
  <conditionalFormatting sqref="D16">
    <cfRule type="containsText" dxfId="18" priority="4" operator="containsText" text="SHOULD">
      <formula>NOT(ISERROR(SEARCH("SHOULD",D16)))</formula>
    </cfRule>
  </conditionalFormatting>
  <conditionalFormatting sqref="D14">
    <cfRule type="containsText" dxfId="17" priority="3" operator="containsText" text="SHOULD">
      <formula>NOT(ISERROR(SEARCH("SHOULD",D14)))</formula>
    </cfRule>
  </conditionalFormatting>
  <conditionalFormatting sqref="D11">
    <cfRule type="containsText" dxfId="16" priority="2" operator="containsText" text="SHOULD">
      <formula>NOT(ISERROR(SEARCH("SHOULD",D11)))</formula>
    </cfRule>
  </conditionalFormatting>
  <conditionalFormatting sqref="D4 D8">
    <cfRule type="containsText" dxfId="0" priority="1" operator="containsText" text="SHOULD">
      <formula>NOT(ISERROR(SEARCH("SHOULD",D4)))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014D9FEF-9086-42BA-88ED-D081A8ED505B}">
            <xm:f>NOT(ISERROR(SEARCH($D$6,D5)))</xm:f>
            <xm:f>$D$6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containsText" priority="10" operator="containsText" id="{F8A759F8-1A8D-49B1-92EF-93ABC14C2DDF}">
            <xm:f>NOT(ISERROR(SEARCH($E$10,D12)))</xm:f>
            <xm:f>$E$10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D12:D13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>
      <pane ySplit="1" topLeftCell="A2" activePane="bottomLeft" state="frozen"/>
      <selection pane="bottomLeft" activeCell="H29" sqref="H29"/>
    </sheetView>
  </sheetViews>
  <sheetFormatPr baseColWidth="10" defaultColWidth="8.796875" defaultRowHeight="13.8"/>
  <cols>
    <col min="1" max="2" width="14" customWidth="1"/>
    <col min="3" max="3" width="16" customWidth="1"/>
    <col min="4" max="4" width="23" customWidth="1"/>
    <col min="5" max="5" width="19" customWidth="1"/>
    <col min="6" max="6" width="21" customWidth="1"/>
    <col min="7" max="7" width="19" customWidth="1"/>
    <col min="8" max="8" width="20" customWidth="1"/>
    <col min="9" max="9" width="18" customWidth="1"/>
    <col min="10" max="10" width="23" customWidth="1"/>
    <col min="11" max="11" width="19" customWidth="1"/>
    <col min="12" max="12" width="18" customWidth="1"/>
  </cols>
  <sheetData>
    <row r="1" spans="1:12" ht="31.95" customHeight="1">
      <c r="A1" s="6" t="s">
        <v>156</v>
      </c>
      <c r="B1" s="6" t="s">
        <v>1</v>
      </c>
      <c r="C1" s="6" t="s">
        <v>15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165</v>
      </c>
    </row>
    <row r="2" spans="1:12">
      <c r="A2" s="2" t="s">
        <v>19</v>
      </c>
      <c r="B2" s="2" t="s">
        <v>20</v>
      </c>
      <c r="C2" s="2" t="s">
        <v>27</v>
      </c>
      <c r="D2" s="9">
        <v>6</v>
      </c>
      <c r="E2" s="9">
        <v>2</v>
      </c>
      <c r="F2" s="9">
        <v>0</v>
      </c>
      <c r="G2" s="9">
        <v>0</v>
      </c>
      <c r="H2" s="9">
        <v>2</v>
      </c>
      <c r="I2" s="9">
        <v>2</v>
      </c>
      <c r="J2" s="9">
        <f t="shared" ref="J2:J20" si="0">SUM(E2:I2)</f>
        <v>6</v>
      </c>
      <c r="K2" s="9">
        <f t="shared" ref="K2:K20" si="1">J2-D2</f>
        <v>0</v>
      </c>
      <c r="L2" s="2" t="str">
        <f t="shared" ref="L2:L21" si="2">IF(K2=0,"OK","REVISAR")</f>
        <v>OK</v>
      </c>
    </row>
    <row r="3" spans="1:12">
      <c r="A3" s="8" t="s">
        <v>30</v>
      </c>
      <c r="B3" s="8" t="s">
        <v>20</v>
      </c>
      <c r="C3" s="8" t="s">
        <v>35</v>
      </c>
      <c r="D3" s="12">
        <v>7</v>
      </c>
      <c r="E3" s="12">
        <v>0</v>
      </c>
      <c r="F3" s="12">
        <v>4.5</v>
      </c>
      <c r="G3" s="12">
        <v>0</v>
      </c>
      <c r="H3" s="12">
        <v>0</v>
      </c>
      <c r="I3" s="12">
        <v>2.5</v>
      </c>
      <c r="J3" s="12">
        <f t="shared" si="0"/>
        <v>7</v>
      </c>
      <c r="K3" s="12">
        <f t="shared" si="1"/>
        <v>0</v>
      </c>
      <c r="L3" s="8" t="str">
        <f t="shared" si="2"/>
        <v>OK</v>
      </c>
    </row>
    <row r="4" spans="1:12">
      <c r="A4" s="2" t="s">
        <v>37</v>
      </c>
      <c r="B4" s="2" t="s">
        <v>20</v>
      </c>
      <c r="C4" s="2" t="s">
        <v>43</v>
      </c>
      <c r="D4" s="9">
        <v>4</v>
      </c>
      <c r="E4" s="9">
        <v>0</v>
      </c>
      <c r="F4" s="9">
        <v>0</v>
      </c>
      <c r="G4" s="9">
        <v>0</v>
      </c>
      <c r="H4" s="9">
        <v>2</v>
      </c>
      <c r="I4" s="9">
        <v>2</v>
      </c>
      <c r="J4" s="9">
        <f t="shared" si="0"/>
        <v>4</v>
      </c>
      <c r="K4" s="9">
        <f t="shared" si="1"/>
        <v>0</v>
      </c>
      <c r="L4" s="2" t="str">
        <f t="shared" si="2"/>
        <v>OK</v>
      </c>
    </row>
    <row r="5" spans="1:12">
      <c r="A5" s="8" t="s">
        <v>45</v>
      </c>
      <c r="B5" s="8" t="s">
        <v>20</v>
      </c>
      <c r="C5" s="8" t="s">
        <v>50</v>
      </c>
      <c r="D5" s="12">
        <v>7</v>
      </c>
      <c r="E5" s="12">
        <v>0</v>
      </c>
      <c r="F5" s="12">
        <v>2.25</v>
      </c>
      <c r="G5" s="12">
        <v>0</v>
      </c>
      <c r="H5" s="12">
        <v>4.75</v>
      </c>
      <c r="I5" s="12">
        <v>0</v>
      </c>
      <c r="J5" s="12">
        <f t="shared" si="0"/>
        <v>7</v>
      </c>
      <c r="K5" s="12">
        <f t="shared" si="1"/>
        <v>0</v>
      </c>
      <c r="L5" s="8" t="str">
        <f t="shared" si="2"/>
        <v>OK</v>
      </c>
    </row>
    <row r="6" spans="1:12">
      <c r="A6" s="2" t="s">
        <v>52</v>
      </c>
      <c r="B6" s="2" t="s">
        <v>53</v>
      </c>
      <c r="C6" s="2" t="s">
        <v>35</v>
      </c>
      <c r="D6" s="9">
        <v>4</v>
      </c>
      <c r="E6" s="9">
        <v>2</v>
      </c>
      <c r="F6" s="9">
        <v>0</v>
      </c>
      <c r="G6" s="9">
        <v>2</v>
      </c>
      <c r="H6" s="9">
        <v>0</v>
      </c>
      <c r="I6" s="9">
        <v>0</v>
      </c>
      <c r="J6" s="9">
        <f t="shared" si="0"/>
        <v>4</v>
      </c>
      <c r="K6" s="9">
        <f t="shared" si="1"/>
        <v>0</v>
      </c>
      <c r="L6" s="2" t="str">
        <f t="shared" si="2"/>
        <v>OK</v>
      </c>
    </row>
    <row r="7" spans="1:12">
      <c r="A7" s="8" t="s">
        <v>59</v>
      </c>
      <c r="B7" s="8" t="s">
        <v>53</v>
      </c>
      <c r="C7" s="8" t="s">
        <v>65</v>
      </c>
      <c r="D7" s="12">
        <v>8</v>
      </c>
      <c r="E7" s="12">
        <v>3</v>
      </c>
      <c r="F7" s="12">
        <v>0</v>
      </c>
      <c r="G7" s="12">
        <v>3</v>
      </c>
      <c r="H7" s="12">
        <v>2</v>
      </c>
      <c r="I7" s="12">
        <v>0</v>
      </c>
      <c r="J7" s="12">
        <f t="shared" si="0"/>
        <v>8</v>
      </c>
      <c r="K7" s="12">
        <f t="shared" si="1"/>
        <v>0</v>
      </c>
      <c r="L7" s="8" t="str">
        <f t="shared" si="2"/>
        <v>OK</v>
      </c>
    </row>
    <row r="8" spans="1:12">
      <c r="A8" s="2" t="s">
        <v>67</v>
      </c>
      <c r="B8" s="2" t="s">
        <v>53</v>
      </c>
      <c r="C8" s="2" t="s">
        <v>73</v>
      </c>
      <c r="D8" s="9">
        <v>4</v>
      </c>
      <c r="E8" s="9">
        <v>0</v>
      </c>
      <c r="F8" s="9">
        <v>0</v>
      </c>
      <c r="G8" s="9">
        <v>0</v>
      </c>
      <c r="H8" s="9">
        <v>2</v>
      </c>
      <c r="I8" s="9">
        <v>2</v>
      </c>
      <c r="J8" s="9">
        <f t="shared" si="0"/>
        <v>4</v>
      </c>
      <c r="K8" s="9">
        <f t="shared" si="1"/>
        <v>0</v>
      </c>
      <c r="L8" s="2" t="str">
        <f t="shared" si="2"/>
        <v>OK</v>
      </c>
    </row>
    <row r="9" spans="1:12">
      <c r="A9" s="8" t="s">
        <v>74</v>
      </c>
      <c r="B9" s="8" t="s">
        <v>53</v>
      </c>
      <c r="C9" s="8" t="s">
        <v>43</v>
      </c>
      <c r="D9" s="12">
        <v>7</v>
      </c>
      <c r="E9" s="12">
        <v>2.75</v>
      </c>
      <c r="F9" s="12">
        <v>0</v>
      </c>
      <c r="G9" s="12">
        <v>0</v>
      </c>
      <c r="H9" s="12">
        <v>0</v>
      </c>
      <c r="I9" s="12">
        <v>4.25</v>
      </c>
      <c r="J9" s="12">
        <f t="shared" si="0"/>
        <v>7</v>
      </c>
      <c r="K9" s="12">
        <f t="shared" si="1"/>
        <v>0</v>
      </c>
      <c r="L9" s="8" t="str">
        <f t="shared" si="2"/>
        <v>OK</v>
      </c>
    </row>
    <row r="10" spans="1:12">
      <c r="A10" s="2" t="s">
        <v>80</v>
      </c>
      <c r="B10" s="2" t="s">
        <v>81</v>
      </c>
      <c r="C10" s="2" t="s">
        <v>27</v>
      </c>
      <c r="D10" s="9">
        <v>5</v>
      </c>
      <c r="E10" s="9">
        <v>0</v>
      </c>
      <c r="F10" s="9">
        <v>0</v>
      </c>
      <c r="G10" s="9">
        <v>5</v>
      </c>
      <c r="H10" s="9">
        <v>0</v>
      </c>
      <c r="I10" s="9">
        <v>0</v>
      </c>
      <c r="J10" s="9">
        <f t="shared" si="0"/>
        <v>5</v>
      </c>
      <c r="K10" s="9">
        <f t="shared" si="1"/>
        <v>0</v>
      </c>
      <c r="L10" s="2" t="str">
        <f t="shared" si="2"/>
        <v>OK</v>
      </c>
    </row>
    <row r="11" spans="1:12">
      <c r="A11" s="8" t="s">
        <v>87</v>
      </c>
      <c r="B11" s="8" t="s">
        <v>81</v>
      </c>
      <c r="C11" s="8" t="s">
        <v>73</v>
      </c>
      <c r="D11" s="12">
        <v>8</v>
      </c>
      <c r="E11" s="12">
        <v>0</v>
      </c>
      <c r="F11" s="12">
        <v>0</v>
      </c>
      <c r="G11" s="12">
        <v>6</v>
      </c>
      <c r="H11" s="12">
        <v>0</v>
      </c>
      <c r="I11" s="12">
        <v>2</v>
      </c>
      <c r="J11" s="12">
        <f t="shared" si="0"/>
        <v>8</v>
      </c>
      <c r="K11" s="12">
        <f t="shared" si="1"/>
        <v>0</v>
      </c>
      <c r="L11" s="8" t="str">
        <f t="shared" si="2"/>
        <v>OK</v>
      </c>
    </row>
    <row r="12" spans="1:12">
      <c r="A12" s="2" t="s">
        <v>94</v>
      </c>
      <c r="B12" s="2" t="s">
        <v>81</v>
      </c>
      <c r="C12" s="2" t="s">
        <v>50</v>
      </c>
      <c r="D12" s="9">
        <v>7</v>
      </c>
      <c r="E12" s="9">
        <v>3</v>
      </c>
      <c r="F12" s="9">
        <v>0</v>
      </c>
      <c r="G12" s="9">
        <v>2</v>
      </c>
      <c r="H12" s="9">
        <v>0</v>
      </c>
      <c r="I12" s="9">
        <v>2</v>
      </c>
      <c r="J12" s="9">
        <f t="shared" si="0"/>
        <v>7</v>
      </c>
      <c r="K12" s="9">
        <f t="shared" si="1"/>
        <v>0</v>
      </c>
      <c r="L12" s="2" t="str">
        <f t="shared" si="2"/>
        <v>OK</v>
      </c>
    </row>
    <row r="13" spans="1:12">
      <c r="A13" s="8" t="s">
        <v>100</v>
      </c>
      <c r="B13" s="8" t="s">
        <v>101</v>
      </c>
      <c r="C13" s="8" t="s">
        <v>35</v>
      </c>
      <c r="D13" s="12">
        <v>4</v>
      </c>
      <c r="E13" s="12">
        <v>0</v>
      </c>
      <c r="F13" s="12">
        <v>0</v>
      </c>
      <c r="G13" s="12">
        <v>0</v>
      </c>
      <c r="H13" s="12">
        <v>4</v>
      </c>
      <c r="I13" s="12">
        <v>0</v>
      </c>
      <c r="J13" s="12">
        <f t="shared" si="0"/>
        <v>4</v>
      </c>
      <c r="K13" s="12">
        <f t="shared" si="1"/>
        <v>0</v>
      </c>
      <c r="L13" s="8" t="str">
        <f t="shared" si="2"/>
        <v>OK</v>
      </c>
    </row>
    <row r="14" spans="1:12">
      <c r="A14" s="2" t="s">
        <v>107</v>
      </c>
      <c r="B14" s="2" t="s">
        <v>101</v>
      </c>
      <c r="C14" s="2" t="s">
        <v>43</v>
      </c>
      <c r="D14" s="9">
        <v>7</v>
      </c>
      <c r="E14" s="9">
        <v>2.5</v>
      </c>
      <c r="F14" s="9">
        <v>2.5</v>
      </c>
      <c r="G14" s="9">
        <v>0</v>
      </c>
      <c r="H14" s="9">
        <v>2</v>
      </c>
      <c r="I14" s="9">
        <v>0</v>
      </c>
      <c r="J14" s="9">
        <f t="shared" si="0"/>
        <v>7</v>
      </c>
      <c r="K14" s="9">
        <f t="shared" si="1"/>
        <v>0</v>
      </c>
      <c r="L14" s="2" t="str">
        <f t="shared" si="2"/>
        <v>OK</v>
      </c>
    </row>
    <row r="15" spans="1:12">
      <c r="A15" s="8" t="s">
        <v>114</v>
      </c>
      <c r="B15" s="8" t="s">
        <v>101</v>
      </c>
      <c r="C15" s="8" t="s">
        <v>50</v>
      </c>
      <c r="D15" s="12">
        <v>7</v>
      </c>
      <c r="E15" s="12">
        <v>2</v>
      </c>
      <c r="F15" s="12">
        <v>0</v>
      </c>
      <c r="G15" s="12">
        <v>3</v>
      </c>
      <c r="H15" s="12">
        <v>0</v>
      </c>
      <c r="I15" s="12">
        <v>2</v>
      </c>
      <c r="J15" s="12">
        <f t="shared" si="0"/>
        <v>7</v>
      </c>
      <c r="K15" s="12">
        <f t="shared" si="1"/>
        <v>0</v>
      </c>
      <c r="L15" s="8" t="str">
        <f t="shared" si="2"/>
        <v>OK</v>
      </c>
    </row>
    <row r="16" spans="1:12">
      <c r="A16" s="2" t="s">
        <v>120</v>
      </c>
      <c r="B16" s="2" t="s">
        <v>121</v>
      </c>
      <c r="C16" s="2" t="s">
        <v>27</v>
      </c>
      <c r="D16" s="9">
        <v>4</v>
      </c>
      <c r="E16" s="9">
        <v>0</v>
      </c>
      <c r="F16" s="9">
        <v>4</v>
      </c>
      <c r="G16" s="9">
        <v>0</v>
      </c>
      <c r="H16" s="9">
        <v>0</v>
      </c>
      <c r="I16" s="9">
        <v>0</v>
      </c>
      <c r="J16" s="9">
        <f t="shared" si="0"/>
        <v>4</v>
      </c>
      <c r="K16" s="9">
        <f t="shared" si="1"/>
        <v>0</v>
      </c>
      <c r="L16" s="2" t="str">
        <f t="shared" si="2"/>
        <v>OK</v>
      </c>
    </row>
    <row r="17" spans="1:12">
      <c r="A17" s="8" t="s">
        <v>127</v>
      </c>
      <c r="B17" s="8" t="s">
        <v>121</v>
      </c>
      <c r="C17" s="8" t="s">
        <v>73</v>
      </c>
      <c r="D17" s="12">
        <v>6</v>
      </c>
      <c r="E17" s="12">
        <v>0</v>
      </c>
      <c r="F17" s="12">
        <v>6</v>
      </c>
      <c r="G17" s="12">
        <v>0</v>
      </c>
      <c r="H17" s="12">
        <v>0</v>
      </c>
      <c r="I17" s="12">
        <v>0</v>
      </c>
      <c r="J17" s="12">
        <f t="shared" si="0"/>
        <v>6</v>
      </c>
      <c r="K17" s="12">
        <f t="shared" si="1"/>
        <v>0</v>
      </c>
      <c r="L17" s="8" t="str">
        <f t="shared" si="2"/>
        <v>OK</v>
      </c>
    </row>
    <row r="18" spans="1:12">
      <c r="A18" s="2" t="s">
        <v>134</v>
      </c>
      <c r="B18" s="2" t="s">
        <v>135</v>
      </c>
      <c r="C18" s="2" t="s">
        <v>65</v>
      </c>
      <c r="D18" s="9">
        <v>4</v>
      </c>
      <c r="E18" s="9">
        <v>2</v>
      </c>
      <c r="F18" s="9">
        <v>0</v>
      </c>
      <c r="G18" s="9">
        <v>2</v>
      </c>
      <c r="H18" s="9">
        <v>0</v>
      </c>
      <c r="I18" s="9">
        <v>0</v>
      </c>
      <c r="J18" s="9">
        <f t="shared" si="0"/>
        <v>4</v>
      </c>
      <c r="K18" s="9">
        <f t="shared" si="1"/>
        <v>0</v>
      </c>
      <c r="L18" s="2" t="str">
        <f t="shared" si="2"/>
        <v>OK</v>
      </c>
    </row>
    <row r="19" spans="1:12">
      <c r="A19" s="8" t="s">
        <v>141</v>
      </c>
      <c r="B19" s="8" t="s">
        <v>135</v>
      </c>
      <c r="C19" s="8" t="s">
        <v>73</v>
      </c>
      <c r="D19" s="12">
        <v>8</v>
      </c>
      <c r="E19" s="12">
        <v>3.75</v>
      </c>
      <c r="F19" s="12">
        <v>0</v>
      </c>
      <c r="G19" s="12">
        <v>0</v>
      </c>
      <c r="H19" s="12">
        <v>4.25</v>
      </c>
      <c r="I19" s="12">
        <v>0</v>
      </c>
      <c r="J19" s="12">
        <f t="shared" si="0"/>
        <v>8</v>
      </c>
      <c r="K19" s="12">
        <f t="shared" si="1"/>
        <v>0</v>
      </c>
      <c r="L19" s="8" t="str">
        <f t="shared" si="2"/>
        <v>OK</v>
      </c>
    </row>
    <row r="20" spans="1:12">
      <c r="A20" s="2" t="s">
        <v>148</v>
      </c>
      <c r="B20" s="2" t="s">
        <v>149</v>
      </c>
      <c r="C20" s="2" t="s">
        <v>65</v>
      </c>
      <c r="D20" s="9">
        <v>8</v>
      </c>
      <c r="E20" s="9">
        <v>0</v>
      </c>
      <c r="F20" s="9">
        <v>3.75</v>
      </c>
      <c r="G20" s="9">
        <v>0</v>
      </c>
      <c r="H20" s="9">
        <v>0</v>
      </c>
      <c r="I20" s="9">
        <v>4.25</v>
      </c>
      <c r="J20" s="9">
        <f t="shared" si="0"/>
        <v>8</v>
      </c>
      <c r="K20" s="9">
        <f t="shared" si="1"/>
        <v>0</v>
      </c>
      <c r="L20" s="2" t="str">
        <f t="shared" si="2"/>
        <v>OK</v>
      </c>
    </row>
    <row r="21" spans="1:12" ht="22.95" customHeight="1">
      <c r="A21" s="5" t="s">
        <v>155</v>
      </c>
      <c r="B21" s="5"/>
      <c r="C21" s="5"/>
      <c r="D21" s="10">
        <f t="shared" ref="D21:K21" si="3">SUM(D2:D20)</f>
        <v>115</v>
      </c>
      <c r="E21" s="10">
        <f t="shared" si="3"/>
        <v>23</v>
      </c>
      <c r="F21" s="10">
        <f t="shared" si="3"/>
        <v>23</v>
      </c>
      <c r="G21" s="10">
        <f t="shared" si="3"/>
        <v>23</v>
      </c>
      <c r="H21" s="10">
        <f t="shared" si="3"/>
        <v>23</v>
      </c>
      <c r="I21" s="10">
        <f t="shared" si="3"/>
        <v>23</v>
      </c>
      <c r="J21" s="10">
        <f t="shared" si="3"/>
        <v>115</v>
      </c>
      <c r="K21" s="10">
        <f t="shared" si="3"/>
        <v>0</v>
      </c>
      <c r="L21" s="5" t="str">
        <f t="shared" si="2"/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>
      <pane ySplit="1" topLeftCell="A2" activePane="bottomLeft" state="frozen"/>
      <selection pane="bottomLeft" activeCell="L16" sqref="L16"/>
    </sheetView>
  </sheetViews>
  <sheetFormatPr baseColWidth="10" defaultColWidth="8.796875" defaultRowHeight="13.8"/>
  <cols>
    <col min="1" max="1" width="24" customWidth="1"/>
    <col min="2" max="2" width="22" customWidth="1"/>
    <col min="3" max="3" width="22.296875" customWidth="1"/>
    <col min="4" max="4" width="27.296875" customWidth="1"/>
    <col min="5" max="8" width="14" customWidth="1"/>
    <col min="9" max="9" width="21" customWidth="1"/>
    <col min="10" max="10" width="19.19921875" customWidth="1"/>
    <col min="11" max="11" width="34.09765625" customWidth="1"/>
    <col min="12" max="12" width="25.296875" customWidth="1"/>
    <col min="13" max="13" width="23" customWidth="1"/>
  </cols>
  <sheetData>
    <row r="1" spans="1:13" ht="31.95" customHeight="1">
      <c r="A1" s="6" t="s">
        <v>166</v>
      </c>
      <c r="B1" s="6" t="s">
        <v>167</v>
      </c>
      <c r="C1" s="6" t="s">
        <v>27</v>
      </c>
      <c r="D1" s="6" t="s">
        <v>35</v>
      </c>
      <c r="E1" s="6" t="s">
        <v>43</v>
      </c>
      <c r="F1" s="6" t="s">
        <v>65</v>
      </c>
      <c r="G1" s="6" t="s">
        <v>73</v>
      </c>
      <c r="H1" s="6" t="s">
        <v>50</v>
      </c>
      <c r="I1" s="6" t="s">
        <v>168</v>
      </c>
      <c r="J1" s="6" t="s">
        <v>169</v>
      </c>
      <c r="K1" s="6" t="s">
        <v>170</v>
      </c>
      <c r="L1" s="6" t="s">
        <v>171</v>
      </c>
      <c r="M1" s="6" t="s">
        <v>172</v>
      </c>
    </row>
    <row r="2" spans="1:13">
      <c r="A2" s="2" t="s">
        <v>158</v>
      </c>
      <c r="B2" s="9">
        <v>6.25</v>
      </c>
      <c r="C2" s="9">
        <f>SUMIFS(Reparto!$E$2:$E$20,Reparto!$C$2:$C$20,C$1)</f>
        <v>2</v>
      </c>
      <c r="D2" s="9">
        <f>SUMIFS(Reparto!$E$2:$E$20,Reparto!$C$2:$C$20,D$1)</f>
        <v>2</v>
      </c>
      <c r="E2" s="9">
        <f>SUMIFS(Reparto!$E$2:$E$20,Reparto!$C$2:$C$20,E$1)</f>
        <v>5.25</v>
      </c>
      <c r="F2" s="9">
        <f>SUMIFS(Reparto!$E$2:$E$20,Reparto!$C$2:$C$20,F$1)</f>
        <v>5</v>
      </c>
      <c r="G2" s="9">
        <f>SUMIFS(Reparto!$E$2:$E$20,Reparto!$C$2:$C$20,G$1)</f>
        <v>3.75</v>
      </c>
      <c r="H2" s="9">
        <f>SUMIFS(Reparto!$E$2:$E$20,Reparto!$C$2:$C$20,H$1)</f>
        <v>5</v>
      </c>
      <c r="I2" s="9">
        <f>SUM(C2:H2)</f>
        <v>23</v>
      </c>
      <c r="J2" s="9">
        <f>B2*6</f>
        <v>37.5</v>
      </c>
      <c r="K2" s="9">
        <f>J2-I2</f>
        <v>14.5</v>
      </c>
      <c r="L2" s="9">
        <v>35</v>
      </c>
      <c r="M2" s="9">
        <f>I2*L2</f>
        <v>805</v>
      </c>
    </row>
    <row r="3" spans="1:13">
      <c r="A3" s="2" t="s">
        <v>159</v>
      </c>
      <c r="B3" s="9">
        <v>6.25</v>
      </c>
      <c r="C3" s="9">
        <f>SUMIFS(Reparto!$F$2:$F$20,Reparto!$C$2:$C$20,C$1)</f>
        <v>4</v>
      </c>
      <c r="D3" s="9">
        <f>SUMIFS(Reparto!$F$2:$F$20,Reparto!$C$2:$C$20,D$1)</f>
        <v>4.5</v>
      </c>
      <c r="E3" s="9">
        <f>SUMIFS(Reparto!$F$2:$F$20,Reparto!$C$2:$C$20,E$1)</f>
        <v>2.5</v>
      </c>
      <c r="F3" s="9">
        <f>SUMIFS(Reparto!$F$2:$F$20,Reparto!$C$2:$C$20,F$1)</f>
        <v>3.75</v>
      </c>
      <c r="G3" s="9">
        <f>SUMIFS(Reparto!$F$2:$F$20,Reparto!$C$2:$C$20,G$1)</f>
        <v>6</v>
      </c>
      <c r="H3" s="9">
        <f>SUMIFS(Reparto!$F$2:$F$20,Reparto!$C$2:$C$20,H$1)</f>
        <v>2.25</v>
      </c>
      <c r="I3" s="9">
        <f>SUM(C3:H3)</f>
        <v>23</v>
      </c>
      <c r="J3" s="9">
        <f>B3*6</f>
        <v>37.5</v>
      </c>
      <c r="K3" s="9">
        <f>J3-I3</f>
        <v>14.5</v>
      </c>
      <c r="L3" s="9">
        <v>30</v>
      </c>
      <c r="M3" s="9">
        <f>I3*L3</f>
        <v>690</v>
      </c>
    </row>
    <row r="4" spans="1:13">
      <c r="A4" s="2" t="s">
        <v>160</v>
      </c>
      <c r="B4" s="9">
        <v>6.25</v>
      </c>
      <c r="C4" s="9">
        <f>SUMIFS(Reparto!$G$2:$G$20,Reparto!$C$2:$C$20,C$1)</f>
        <v>5</v>
      </c>
      <c r="D4" s="9">
        <f>SUMIFS(Reparto!$G$2:$G$20,Reparto!$C$2:$C$20,D$1)</f>
        <v>2</v>
      </c>
      <c r="E4" s="9">
        <f>SUMIFS(Reparto!$G$2:$G$20,Reparto!$C$2:$C$20,E$1)</f>
        <v>0</v>
      </c>
      <c r="F4" s="9">
        <f>SUMIFS(Reparto!$G$2:$G$20,Reparto!$C$2:$C$20,F$1)</f>
        <v>5</v>
      </c>
      <c r="G4" s="9">
        <f>SUMIFS(Reparto!$G$2:$G$20,Reparto!$C$2:$C$20,G$1)</f>
        <v>6</v>
      </c>
      <c r="H4" s="9">
        <f>SUMIFS(Reparto!$G$2:$G$20,Reparto!$C$2:$C$20,H$1)</f>
        <v>5</v>
      </c>
      <c r="I4" s="9">
        <f>SUM(C4:H4)</f>
        <v>23</v>
      </c>
      <c r="J4" s="9">
        <f>B4*6</f>
        <v>37.5</v>
      </c>
      <c r="K4" s="9">
        <f>J4-I4</f>
        <v>14.5</v>
      </c>
      <c r="L4" s="9">
        <v>40</v>
      </c>
      <c r="M4" s="9">
        <f>I4*L4</f>
        <v>920</v>
      </c>
    </row>
    <row r="5" spans="1:13">
      <c r="A5" s="2" t="s">
        <v>161</v>
      </c>
      <c r="B5" s="9">
        <v>6.25</v>
      </c>
      <c r="C5" s="9">
        <f>SUMIFS(Reparto!$H$2:$H$20,Reparto!$C$2:$C$20,C$1)</f>
        <v>2</v>
      </c>
      <c r="D5" s="9">
        <f>SUMIFS(Reparto!$H$2:$H$20,Reparto!$C$2:$C$20,D$1)</f>
        <v>4</v>
      </c>
      <c r="E5" s="9">
        <f>SUMIFS(Reparto!$H$2:$H$20,Reparto!$C$2:$C$20,E$1)</f>
        <v>4</v>
      </c>
      <c r="F5" s="9">
        <f>SUMIFS(Reparto!$H$2:$H$20,Reparto!$C$2:$C$20,F$1)</f>
        <v>2</v>
      </c>
      <c r="G5" s="9">
        <f>SUMIFS(Reparto!$H$2:$H$20,Reparto!$C$2:$C$20,G$1)</f>
        <v>6.25</v>
      </c>
      <c r="H5" s="9">
        <f>SUMIFS(Reparto!$H$2:$H$20,Reparto!$C$2:$C$20,H$1)</f>
        <v>4.75</v>
      </c>
      <c r="I5" s="9">
        <f>SUM(C5:H5)</f>
        <v>23</v>
      </c>
      <c r="J5" s="9">
        <f>B5*6</f>
        <v>37.5</v>
      </c>
      <c r="K5" s="9">
        <f>J5-I5</f>
        <v>14.5</v>
      </c>
      <c r="L5" s="9">
        <v>35</v>
      </c>
      <c r="M5" s="9">
        <f>I5*L5</f>
        <v>805</v>
      </c>
    </row>
    <row r="6" spans="1:13">
      <c r="A6" s="2" t="s">
        <v>162</v>
      </c>
      <c r="B6" s="9">
        <v>6.25</v>
      </c>
      <c r="C6" s="9">
        <f>SUMIFS(Reparto!$I$2:$I$20,Reparto!$C$2:$C$20,C$1)</f>
        <v>2</v>
      </c>
      <c r="D6" s="9">
        <f>SUMIFS(Reparto!$I$2:$I$20,Reparto!$C$2:$C$20,D$1)</f>
        <v>2.5</v>
      </c>
      <c r="E6" s="9">
        <f>SUMIFS(Reparto!$I$2:$I$20,Reparto!$C$2:$C$20,E$1)</f>
        <v>6.25</v>
      </c>
      <c r="F6" s="9">
        <f>SUMIFS(Reparto!$I$2:$I$20,Reparto!$C$2:$C$20,F$1)</f>
        <v>4.25</v>
      </c>
      <c r="G6" s="9">
        <f>SUMIFS(Reparto!$I$2:$I$20,Reparto!$C$2:$C$20,G$1)</f>
        <v>4</v>
      </c>
      <c r="H6" s="9">
        <f>SUMIFS(Reparto!$I$2:$I$20,Reparto!$C$2:$C$20,H$1)</f>
        <v>4</v>
      </c>
      <c r="I6" s="9">
        <f>SUM(C6:H6)</f>
        <v>23</v>
      </c>
      <c r="J6" s="9">
        <f>B6*6</f>
        <v>37.5</v>
      </c>
      <c r="K6" s="9">
        <f>J6-I6</f>
        <v>14.5</v>
      </c>
      <c r="L6" s="9">
        <v>25</v>
      </c>
      <c r="M6" s="9">
        <f>I6*L6</f>
        <v>575</v>
      </c>
    </row>
    <row r="7" spans="1:13" ht="22.95" customHeight="1">
      <c r="A7" s="5" t="s">
        <v>173</v>
      </c>
      <c r="B7" s="10">
        <f t="shared" ref="B7:K7" si="0">SUM(B2:B6)</f>
        <v>31.25</v>
      </c>
      <c r="C7" s="10">
        <f t="shared" si="0"/>
        <v>15</v>
      </c>
      <c r="D7" s="10">
        <f t="shared" si="0"/>
        <v>15</v>
      </c>
      <c r="E7" s="10">
        <f t="shared" si="0"/>
        <v>18</v>
      </c>
      <c r="F7" s="10">
        <f t="shared" si="0"/>
        <v>20</v>
      </c>
      <c r="G7" s="10">
        <f t="shared" si="0"/>
        <v>26</v>
      </c>
      <c r="H7" s="10">
        <f t="shared" si="0"/>
        <v>21</v>
      </c>
      <c r="I7" s="10">
        <f t="shared" si="0"/>
        <v>115</v>
      </c>
      <c r="J7" s="10">
        <f t="shared" si="0"/>
        <v>187.5</v>
      </c>
      <c r="K7" s="10" t="s">
        <v>181</v>
      </c>
      <c r="L7" s="10"/>
      <c r="M7" s="10">
        <f>SUM(M2:M6)</f>
        <v>3795</v>
      </c>
    </row>
    <row r="10" spans="1:13" ht="25.95" customHeight="1">
      <c r="A10" s="11" t="s">
        <v>15</v>
      </c>
      <c r="B10" s="11" t="s">
        <v>174</v>
      </c>
      <c r="C10" s="11" t="s">
        <v>175</v>
      </c>
      <c r="D10" s="11" t="s">
        <v>176</v>
      </c>
    </row>
    <row r="11" spans="1:13">
      <c r="A11" s="2" t="s">
        <v>27</v>
      </c>
      <c r="B11" s="9">
        <f>SUMIF(Reparto!$C$2:$C$20,A11,Reparto!$D$2:$D$20)</f>
        <v>15</v>
      </c>
      <c r="C11" s="9">
        <f t="shared" ref="C11:C16" si="1">$B$7</f>
        <v>31.25</v>
      </c>
      <c r="D11" s="9">
        <f t="shared" ref="D11:D16" si="2">C11-B11</f>
        <v>16.25</v>
      </c>
    </row>
    <row r="12" spans="1:13">
      <c r="A12" s="2" t="s">
        <v>35</v>
      </c>
      <c r="B12" s="9">
        <f>SUMIF(Reparto!$C$2:$C$20,A12,Reparto!$D$2:$D$20)</f>
        <v>15</v>
      </c>
      <c r="C12" s="9">
        <f t="shared" si="1"/>
        <v>31.25</v>
      </c>
      <c r="D12" s="9">
        <f t="shared" si="2"/>
        <v>16.25</v>
      </c>
    </row>
    <row r="13" spans="1:13">
      <c r="A13" s="2" t="s">
        <v>43</v>
      </c>
      <c r="B13" s="9">
        <f>SUMIF(Reparto!$C$2:$C$20,A13,Reparto!$D$2:$D$20)</f>
        <v>18</v>
      </c>
      <c r="C13" s="9">
        <f t="shared" si="1"/>
        <v>31.25</v>
      </c>
      <c r="D13" s="9">
        <f t="shared" si="2"/>
        <v>13.25</v>
      </c>
    </row>
    <row r="14" spans="1:13">
      <c r="A14" s="2" t="s">
        <v>65</v>
      </c>
      <c r="B14" s="9">
        <f>SUMIF(Reparto!$C$2:$C$20,A14,Reparto!$D$2:$D$20)</f>
        <v>20</v>
      </c>
      <c r="C14" s="9">
        <f t="shared" si="1"/>
        <v>31.25</v>
      </c>
      <c r="D14" s="9">
        <f t="shared" si="2"/>
        <v>11.25</v>
      </c>
    </row>
    <row r="15" spans="1:13">
      <c r="A15" s="2" t="s">
        <v>73</v>
      </c>
      <c r="B15" s="9">
        <f>SUMIF(Reparto!$C$2:$C$20,A15,Reparto!$D$2:$D$20)</f>
        <v>26</v>
      </c>
      <c r="C15" s="9">
        <f t="shared" si="1"/>
        <v>31.25</v>
      </c>
      <c r="D15" s="9">
        <f t="shared" si="2"/>
        <v>5.25</v>
      </c>
    </row>
    <row r="16" spans="1:13">
      <c r="A16" s="2" t="s">
        <v>50</v>
      </c>
      <c r="B16" s="9">
        <f>SUMIF(Reparto!$C$2:$C$20,A16,Reparto!$D$2:$D$20)</f>
        <v>21</v>
      </c>
      <c r="C16" s="9">
        <f t="shared" si="1"/>
        <v>31.25</v>
      </c>
      <c r="D16" s="9">
        <f t="shared" si="2"/>
        <v>10.25</v>
      </c>
    </row>
    <row r="17" spans="1:4" ht="22.95" customHeight="1">
      <c r="A17" s="5" t="s">
        <v>155</v>
      </c>
      <c r="B17" s="10">
        <f>SUM(B11:B16)</f>
        <v>115</v>
      </c>
      <c r="C17" s="10">
        <f>SUM(C11:C16)</f>
        <v>187.5</v>
      </c>
      <c r="D17" s="10">
        <f>SUM(D11:D16)</f>
        <v>72.5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pane ySplit="1" topLeftCell="A5" activePane="bottomLeft" state="frozen"/>
      <selection pane="bottomLeft" activeCell="I10" sqref="I10"/>
    </sheetView>
  </sheetViews>
  <sheetFormatPr baseColWidth="10" defaultColWidth="8.796875" defaultRowHeight="13.8"/>
  <cols>
    <col min="1" max="1" width="19" customWidth="1"/>
    <col min="2" max="2" width="20" customWidth="1"/>
    <col min="3" max="3" width="22" customWidth="1"/>
    <col min="4" max="4" width="27" customWidth="1"/>
    <col min="5" max="5" width="24" customWidth="1"/>
  </cols>
  <sheetData>
    <row r="1" spans="1:5" ht="31.95" customHeight="1">
      <c r="A1" s="6" t="s">
        <v>156</v>
      </c>
      <c r="B1" s="6" t="s">
        <v>177</v>
      </c>
      <c r="C1" s="6" t="s">
        <v>178</v>
      </c>
      <c r="D1" s="6" t="s">
        <v>179</v>
      </c>
      <c r="E1" s="6" t="s">
        <v>165</v>
      </c>
    </row>
    <row r="2" spans="1:5">
      <c r="A2" s="2" t="s">
        <v>30</v>
      </c>
      <c r="B2" s="2" t="s">
        <v>19</v>
      </c>
      <c r="C2" s="2" t="str">
        <f>IFERROR(INDEX(Hoja1!$P$2:$P$20,MATCH(A2,Hoja1!$A$2:$A$20,0)),"NO EXISTE")</f>
        <v>IT-002</v>
      </c>
      <c r="D2" s="2" t="str">
        <f>IFERROR(INDEX(Hoja1!$P$2:$P$20,MATCH(B2,Hoja1!$A$2:$A$20,0)),"NO EXISTE")</f>
        <v>IT-001</v>
      </c>
      <c r="E2" s="2" t="str">
        <f t="shared" ref="E2:E23" si="0">IF(OR(C2="NO EXISTE",D2="NO EXISTE"),"REVISAR",IF(C2&gt;D2,"OK","REVISAR ORDEN"))</f>
        <v>OK</v>
      </c>
    </row>
    <row r="3" spans="1:5">
      <c r="A3" s="8" t="s">
        <v>37</v>
      </c>
      <c r="B3" s="8" t="s">
        <v>30</v>
      </c>
      <c r="C3" s="8" t="str">
        <f>IFERROR(INDEX(Hoja1!$P$2:$P$20,MATCH(A3,Hoja1!$A$2:$A$20,0)),"NO EXISTE")</f>
        <v>IT-003</v>
      </c>
      <c r="D3" s="8" t="str">
        <f>IFERROR(INDEX(Hoja1!$P$2:$P$20,MATCH(B3,Hoja1!$A$2:$A$20,0)),"NO EXISTE")</f>
        <v>IT-002</v>
      </c>
      <c r="E3" s="8" t="str">
        <f t="shared" si="0"/>
        <v>OK</v>
      </c>
    </row>
    <row r="4" spans="1:5">
      <c r="A4" s="2" t="s">
        <v>45</v>
      </c>
      <c r="B4" s="2" t="s">
        <v>30</v>
      </c>
      <c r="C4" s="2" t="str">
        <f>IFERROR(INDEX(Hoja1!$P$2:$P$20,MATCH(A4,Hoja1!$A$2:$A$20,0)),"NO EXISTE")</f>
        <v>IT-006</v>
      </c>
      <c r="D4" s="2" t="str">
        <f>IFERROR(INDEX(Hoja1!$P$2:$P$20,MATCH(B4,Hoja1!$A$2:$A$20,0)),"NO EXISTE")</f>
        <v>IT-002</v>
      </c>
      <c r="E4" s="2" t="str">
        <f t="shared" si="0"/>
        <v>OK</v>
      </c>
    </row>
    <row r="5" spans="1:5">
      <c r="A5" s="8" t="s">
        <v>59</v>
      </c>
      <c r="B5" s="8" t="s">
        <v>30</v>
      </c>
      <c r="C5" s="8" t="str">
        <f>IFERROR(INDEX(Hoja1!$P$2:$P$20,MATCH(A5,Hoja1!$A$2:$A$20,0)),"NO EXISTE")</f>
        <v>IT-004</v>
      </c>
      <c r="D5" s="8" t="str">
        <f>IFERROR(INDEX(Hoja1!$P$2:$P$20,MATCH(B5,Hoja1!$A$2:$A$20,0)),"NO EXISTE")</f>
        <v>IT-002</v>
      </c>
      <c r="E5" s="8" t="str">
        <f t="shared" si="0"/>
        <v>OK</v>
      </c>
    </row>
    <row r="6" spans="1:5">
      <c r="A6" s="2" t="s">
        <v>59</v>
      </c>
      <c r="B6" s="2" t="s">
        <v>52</v>
      </c>
      <c r="C6" s="2" t="str">
        <f>IFERROR(INDEX(Hoja1!$P$2:$P$20,MATCH(A6,Hoja1!$A$2:$A$20,0)),"NO EXISTE")</f>
        <v>IT-004</v>
      </c>
      <c r="D6" s="2" t="str">
        <f>IFERROR(INDEX(Hoja1!$P$2:$P$20,MATCH(B6,Hoja1!$A$2:$A$20,0)),"NO EXISTE")</f>
        <v>IT-002</v>
      </c>
      <c r="E6" s="2" t="str">
        <f t="shared" si="0"/>
        <v>OK</v>
      </c>
    </row>
    <row r="7" spans="1:5">
      <c r="A7" s="8" t="s">
        <v>67</v>
      </c>
      <c r="B7" s="8" t="s">
        <v>30</v>
      </c>
      <c r="C7" s="8" t="str">
        <f>IFERROR(INDEX(Hoja1!$P$2:$P$20,MATCH(A7,Hoja1!$A$2:$A$20,0)),"NO EXISTE")</f>
        <v>IT-005</v>
      </c>
      <c r="D7" s="8" t="str">
        <f>IFERROR(INDEX(Hoja1!$P$2:$P$20,MATCH(B7,Hoja1!$A$2:$A$20,0)),"NO EXISTE")</f>
        <v>IT-002</v>
      </c>
      <c r="E7" s="8" t="str">
        <f t="shared" si="0"/>
        <v>OK</v>
      </c>
    </row>
    <row r="8" spans="1:5">
      <c r="A8" s="2" t="s">
        <v>67</v>
      </c>
      <c r="B8" s="2" t="s">
        <v>59</v>
      </c>
      <c r="C8" s="2" t="str">
        <f>IFERROR(INDEX(Hoja1!$P$2:$P$20,MATCH(A8,Hoja1!$A$2:$A$20,0)),"NO EXISTE")</f>
        <v>IT-005</v>
      </c>
      <c r="D8" s="2" t="str">
        <f>IFERROR(INDEX(Hoja1!$P$2:$P$20,MATCH(B8,Hoja1!$A$2:$A$20,0)),"NO EXISTE")</f>
        <v>IT-004</v>
      </c>
      <c r="E8" s="2" t="str">
        <f t="shared" si="0"/>
        <v>OK</v>
      </c>
    </row>
    <row r="9" spans="1:5">
      <c r="A9" s="8" t="s">
        <v>74</v>
      </c>
      <c r="B9" s="8" t="s">
        <v>30</v>
      </c>
      <c r="C9" s="8" t="str">
        <f>IFERROR(INDEX(Hoja1!$P$2:$P$20,MATCH(A9,Hoja1!$A$2:$A$20,0)),"NO EXISTE")</f>
        <v>IT-003</v>
      </c>
      <c r="D9" s="8" t="str">
        <f>IFERROR(INDEX(Hoja1!$P$2:$P$20,MATCH(B9,Hoja1!$A$2:$A$20,0)),"NO EXISTE")</f>
        <v>IT-002</v>
      </c>
      <c r="E9" s="8" t="str">
        <f t="shared" si="0"/>
        <v>OK</v>
      </c>
    </row>
    <row r="10" spans="1:5">
      <c r="A10" s="2" t="s">
        <v>74</v>
      </c>
      <c r="B10" s="2" t="s">
        <v>52</v>
      </c>
      <c r="C10" s="2" t="str">
        <f>IFERROR(INDEX(Hoja1!$P$2:$P$20,MATCH(A10,Hoja1!$A$2:$A$20,0)),"NO EXISTE")</f>
        <v>IT-003</v>
      </c>
      <c r="D10" s="2" t="str">
        <f>IFERROR(INDEX(Hoja1!$P$2:$P$20,MATCH(B10,Hoja1!$A$2:$A$20,0)),"NO EXISTE")</f>
        <v>IT-002</v>
      </c>
      <c r="E10" s="2" t="str">
        <f t="shared" si="0"/>
        <v>OK</v>
      </c>
    </row>
    <row r="11" spans="1:5">
      <c r="A11" s="8" t="s">
        <v>87</v>
      </c>
      <c r="B11" s="8" t="s">
        <v>30</v>
      </c>
      <c r="C11" s="8" t="str">
        <f>IFERROR(INDEX(Hoja1!$P$2:$P$20,MATCH(A11,Hoja1!$A$2:$A$20,0)),"NO EXISTE")</f>
        <v>IT-005</v>
      </c>
      <c r="D11" s="8" t="str">
        <f>IFERROR(INDEX(Hoja1!$P$2:$P$20,MATCH(B11,Hoja1!$A$2:$A$20,0)),"NO EXISTE")</f>
        <v>IT-002</v>
      </c>
      <c r="E11" s="8" t="str">
        <f t="shared" si="0"/>
        <v>OK</v>
      </c>
    </row>
    <row r="12" spans="1:5">
      <c r="A12" s="2" t="s">
        <v>87</v>
      </c>
      <c r="B12" s="2" t="s">
        <v>80</v>
      </c>
      <c r="C12" s="2" t="str">
        <f>IFERROR(INDEX(Hoja1!$P$2:$P$20,MATCH(A12,Hoja1!$A$2:$A$20,0)),"NO EXISTE")</f>
        <v>IT-005</v>
      </c>
      <c r="D12" s="2" t="str">
        <f>IFERROR(INDEX(Hoja1!$P$2:$P$20,MATCH(B12,Hoja1!$A$2:$A$20,0)),"NO EXISTE")</f>
        <v>IT-001</v>
      </c>
      <c r="E12" s="2" t="str">
        <f t="shared" si="0"/>
        <v>OK</v>
      </c>
    </row>
    <row r="13" spans="1:5">
      <c r="A13" s="8" t="s">
        <v>94</v>
      </c>
      <c r="B13" s="8" t="s">
        <v>30</v>
      </c>
      <c r="C13" s="8" t="str">
        <f>IFERROR(INDEX(Hoja1!$P$2:$P$20,MATCH(A13,Hoja1!$A$2:$A$20,0)),"NO EXISTE")</f>
        <v>IT-006</v>
      </c>
      <c r="D13" s="8" t="str">
        <f>IFERROR(INDEX(Hoja1!$P$2:$P$20,MATCH(B13,Hoja1!$A$2:$A$20,0)),"NO EXISTE")</f>
        <v>IT-002</v>
      </c>
      <c r="E13" s="8" t="str">
        <f t="shared" si="0"/>
        <v>OK</v>
      </c>
    </row>
    <row r="14" spans="1:5">
      <c r="A14" s="2" t="s">
        <v>94</v>
      </c>
      <c r="B14" s="2" t="s">
        <v>80</v>
      </c>
      <c r="C14" s="2" t="str">
        <f>IFERROR(INDEX(Hoja1!$P$2:$P$20,MATCH(A14,Hoja1!$A$2:$A$20,0)),"NO EXISTE")</f>
        <v>IT-006</v>
      </c>
      <c r="D14" s="2" t="str">
        <f>IFERROR(INDEX(Hoja1!$P$2:$P$20,MATCH(B14,Hoja1!$A$2:$A$20,0)),"NO EXISTE")</f>
        <v>IT-001</v>
      </c>
      <c r="E14" s="2" t="str">
        <f t="shared" si="0"/>
        <v>OK</v>
      </c>
    </row>
    <row r="15" spans="1:5">
      <c r="A15" s="8" t="s">
        <v>107</v>
      </c>
      <c r="B15" s="8" t="s">
        <v>30</v>
      </c>
      <c r="C15" s="8" t="str">
        <f>IFERROR(INDEX(Hoja1!$P$2:$P$20,MATCH(A15,Hoja1!$A$2:$A$20,0)),"NO EXISTE")</f>
        <v>IT-003</v>
      </c>
      <c r="D15" s="8" t="str">
        <f>IFERROR(INDEX(Hoja1!$P$2:$P$20,MATCH(B15,Hoja1!$A$2:$A$20,0)),"NO EXISTE")</f>
        <v>IT-002</v>
      </c>
      <c r="E15" s="8" t="str">
        <f t="shared" si="0"/>
        <v>OK</v>
      </c>
    </row>
    <row r="16" spans="1:5">
      <c r="A16" s="2" t="s">
        <v>107</v>
      </c>
      <c r="B16" s="2" t="s">
        <v>100</v>
      </c>
      <c r="C16" s="2" t="str">
        <f>IFERROR(INDEX(Hoja1!$P$2:$P$20,MATCH(A16,Hoja1!$A$2:$A$20,0)),"NO EXISTE")</f>
        <v>IT-003</v>
      </c>
      <c r="D16" s="2" t="str">
        <f>IFERROR(INDEX(Hoja1!$P$2:$P$20,MATCH(B16,Hoja1!$A$2:$A$20,0)),"NO EXISTE")</f>
        <v>IT-002</v>
      </c>
      <c r="E16" s="2" t="str">
        <f t="shared" si="0"/>
        <v>OK</v>
      </c>
    </row>
    <row r="17" spans="1:5">
      <c r="A17" s="8" t="s">
        <v>114</v>
      </c>
      <c r="B17" s="8" t="s">
        <v>30</v>
      </c>
      <c r="C17" s="8" t="str">
        <f>IFERROR(INDEX(Hoja1!$P$2:$P$20,MATCH(A17,Hoja1!$A$2:$A$20,0)),"NO EXISTE")</f>
        <v>IT-006</v>
      </c>
      <c r="D17" s="8" t="str">
        <f>IFERROR(INDEX(Hoja1!$P$2:$P$20,MATCH(B17,Hoja1!$A$2:$A$20,0)),"NO EXISTE")</f>
        <v>IT-002</v>
      </c>
      <c r="E17" s="8" t="str">
        <f t="shared" si="0"/>
        <v>OK</v>
      </c>
    </row>
    <row r="18" spans="1:5">
      <c r="A18" s="2" t="s">
        <v>114</v>
      </c>
      <c r="B18" s="2" t="s">
        <v>100</v>
      </c>
      <c r="C18" s="2" t="str">
        <f>IFERROR(INDEX(Hoja1!$P$2:$P$20,MATCH(A18,Hoja1!$A$2:$A$20,0)),"NO EXISTE")</f>
        <v>IT-006</v>
      </c>
      <c r="D18" s="2" t="str">
        <f>IFERROR(INDEX(Hoja1!$P$2:$P$20,MATCH(B18,Hoja1!$A$2:$A$20,0)),"NO EXISTE")</f>
        <v>IT-002</v>
      </c>
      <c r="E18" s="2" t="str">
        <f t="shared" si="0"/>
        <v>OK</v>
      </c>
    </row>
    <row r="19" spans="1:5">
      <c r="A19" s="8" t="s">
        <v>127</v>
      </c>
      <c r="B19" s="8" t="s">
        <v>30</v>
      </c>
      <c r="C19" s="8" t="str">
        <f>IFERROR(INDEX(Hoja1!$P$2:$P$20,MATCH(A19,Hoja1!$A$2:$A$20,0)),"NO EXISTE")</f>
        <v>IT-005</v>
      </c>
      <c r="D19" s="8" t="str">
        <f>IFERROR(INDEX(Hoja1!$P$2:$P$20,MATCH(B19,Hoja1!$A$2:$A$20,0)),"NO EXISTE")</f>
        <v>IT-002</v>
      </c>
      <c r="E19" s="8" t="str">
        <f t="shared" si="0"/>
        <v>OK</v>
      </c>
    </row>
    <row r="20" spans="1:5">
      <c r="A20" s="2" t="s">
        <v>127</v>
      </c>
      <c r="B20" s="2" t="s">
        <v>120</v>
      </c>
      <c r="C20" s="2" t="str">
        <f>IFERROR(INDEX(Hoja1!$P$2:$P$20,MATCH(A20,Hoja1!$A$2:$A$20,0)),"NO EXISTE")</f>
        <v>IT-005</v>
      </c>
      <c r="D20" s="2" t="str">
        <f>IFERROR(INDEX(Hoja1!$P$2:$P$20,MATCH(B20,Hoja1!$A$2:$A$20,0)),"NO EXISTE")</f>
        <v>IT-001</v>
      </c>
      <c r="E20" s="2" t="str">
        <f t="shared" si="0"/>
        <v>OK</v>
      </c>
    </row>
    <row r="21" spans="1:5">
      <c r="A21" s="8" t="s">
        <v>141</v>
      </c>
      <c r="B21" s="8" t="s">
        <v>30</v>
      </c>
      <c r="C21" s="8" t="str">
        <f>IFERROR(INDEX(Hoja1!$P$2:$P$20,MATCH(A21,Hoja1!$A$2:$A$20,0)),"NO EXISTE")</f>
        <v>IT-005</v>
      </c>
      <c r="D21" s="8" t="str">
        <f>IFERROR(INDEX(Hoja1!$P$2:$P$20,MATCH(B21,Hoja1!$A$2:$A$20,0)),"NO EXISTE")</f>
        <v>IT-002</v>
      </c>
      <c r="E21" s="8" t="str">
        <f t="shared" si="0"/>
        <v>OK</v>
      </c>
    </row>
    <row r="22" spans="1:5">
      <c r="A22" s="2" t="s">
        <v>141</v>
      </c>
      <c r="B22" s="2" t="s">
        <v>134</v>
      </c>
      <c r="C22" s="2" t="str">
        <f>IFERROR(INDEX(Hoja1!$P$2:$P$20,MATCH(A22,Hoja1!$A$2:$A$20,0)),"NO EXISTE")</f>
        <v>IT-005</v>
      </c>
      <c r="D22" s="2" t="str">
        <f>IFERROR(INDEX(Hoja1!$P$2:$P$20,MATCH(B22,Hoja1!$A$2:$A$20,0)),"NO EXISTE")</f>
        <v>IT-004</v>
      </c>
      <c r="E22" s="2" t="str">
        <f t="shared" si="0"/>
        <v>OK</v>
      </c>
    </row>
    <row r="23" spans="1:5">
      <c r="A23" s="8" t="s">
        <v>148</v>
      </c>
      <c r="B23" s="8" t="s">
        <v>30</v>
      </c>
      <c r="C23" s="8" t="str">
        <f>IFERROR(INDEX(Hoja1!$P$2:$P$20,MATCH(A23,Hoja1!$A$2:$A$20,0)),"NO EXISTE")</f>
        <v>IT-004</v>
      </c>
      <c r="D23" s="8" t="str">
        <f>IFERROR(INDEX(Hoja1!$P$2:$P$20,MATCH(B23,Hoja1!$A$2:$A$20,0)),"NO EXISTE")</f>
        <v>IT-002</v>
      </c>
      <c r="E23" s="8" t="str">
        <f t="shared" si="0"/>
        <v>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pane ySplit="1" topLeftCell="A2" activePane="bottomLeft" state="frozen"/>
      <selection pane="bottomLeft" activeCell="H20" sqref="H20"/>
    </sheetView>
  </sheetViews>
  <sheetFormatPr baseColWidth="10" defaultColWidth="8.796875" defaultRowHeight="13.8"/>
  <cols>
    <col min="1" max="1" width="14" customWidth="1"/>
    <col min="2" max="2" width="44" customWidth="1"/>
    <col min="3" max="3" width="16" customWidth="1"/>
    <col min="4" max="4" width="19" customWidth="1"/>
    <col min="5" max="10" width="13" customWidth="1"/>
  </cols>
  <sheetData>
    <row r="1" spans="1:10" ht="31.95" customHeight="1">
      <c r="A1" s="6" t="s">
        <v>156</v>
      </c>
      <c r="B1" s="6" t="s">
        <v>2</v>
      </c>
      <c r="C1" s="6" t="s">
        <v>15</v>
      </c>
      <c r="D1" s="6" t="s">
        <v>180</v>
      </c>
      <c r="E1" s="6" t="s">
        <v>27</v>
      </c>
      <c r="F1" s="6" t="s">
        <v>35</v>
      </c>
      <c r="G1" s="6" t="s">
        <v>43</v>
      </c>
      <c r="H1" s="6" t="s">
        <v>65</v>
      </c>
      <c r="I1" s="6" t="s">
        <v>73</v>
      </c>
      <c r="J1" s="6" t="s">
        <v>50</v>
      </c>
    </row>
    <row r="2" spans="1:10">
      <c r="A2" s="2" t="str">
        <f>Hoja1!A2</f>
        <v>US-001</v>
      </c>
      <c r="B2" t="str">
        <f>Hoja1!C2</f>
        <v>Registro de usuario</v>
      </c>
      <c r="C2" s="2" t="str">
        <f>Hoja1!P2</f>
        <v>IT-001</v>
      </c>
      <c r="D2" s="2">
        <f>Hoja1!N2</f>
        <v>6</v>
      </c>
      <c r="E2" s="7"/>
      <c r="F2" s="3" t="str">
        <f t="shared" ref="E2:J11" si="0">IF($C2=F$1,"■","")</f>
        <v/>
      </c>
      <c r="G2" s="3" t="str">
        <f t="shared" si="0"/>
        <v/>
      </c>
      <c r="H2" s="3" t="str">
        <f t="shared" si="0"/>
        <v/>
      </c>
      <c r="I2" s="3" t="str">
        <f t="shared" si="0"/>
        <v/>
      </c>
      <c r="J2" s="3" t="str">
        <f t="shared" si="0"/>
        <v/>
      </c>
    </row>
    <row r="3" spans="1:10">
      <c r="A3" s="2" t="str">
        <f>Hoja1!A3</f>
        <v>US-002</v>
      </c>
      <c r="B3" t="str">
        <f>Hoja1!C3</f>
        <v>Inicio y cierre de sesión</v>
      </c>
      <c r="C3" s="2" t="str">
        <f>Hoja1!P3</f>
        <v>IT-002</v>
      </c>
      <c r="D3" s="2">
        <f>Hoja1!N3</f>
        <v>7</v>
      </c>
      <c r="E3" s="3" t="str">
        <f t="shared" si="0"/>
        <v/>
      </c>
      <c r="F3" s="7"/>
      <c r="G3" s="3" t="str">
        <f t="shared" si="0"/>
        <v/>
      </c>
      <c r="H3" s="3" t="str">
        <f t="shared" si="0"/>
        <v/>
      </c>
      <c r="I3" s="3" t="str">
        <f t="shared" si="0"/>
        <v/>
      </c>
      <c r="J3" s="3" t="str">
        <f t="shared" si="0"/>
        <v/>
      </c>
    </row>
    <row r="4" spans="1:10">
      <c r="A4" s="2" t="str">
        <f>Hoja1!A4</f>
        <v>US-003</v>
      </c>
      <c r="B4" t="str">
        <f>Hoja1!C4</f>
        <v>Consulta y modificación del perfil</v>
      </c>
      <c r="C4" s="2" t="str">
        <f>Hoja1!P4</f>
        <v>IT-003</v>
      </c>
      <c r="D4" s="2">
        <f>Hoja1!N4</f>
        <v>4</v>
      </c>
      <c r="E4" s="3" t="str">
        <f t="shared" si="0"/>
        <v/>
      </c>
      <c r="F4" s="3" t="str">
        <f t="shared" si="0"/>
        <v/>
      </c>
      <c r="G4" s="7"/>
      <c r="H4" s="3" t="str">
        <f t="shared" si="0"/>
        <v/>
      </c>
      <c r="I4" s="3" t="str">
        <f t="shared" si="0"/>
        <v/>
      </c>
      <c r="J4" s="3" t="str">
        <f t="shared" si="0"/>
        <v/>
      </c>
    </row>
    <row r="5" spans="1:10">
      <c r="A5" s="2" t="str">
        <f>Hoja1!A5</f>
        <v>US-004</v>
      </c>
      <c r="B5" t="str">
        <f>Hoja1!C5</f>
        <v>Gestión de usuarios por administrador</v>
      </c>
      <c r="C5" s="2" t="str">
        <f>Hoja1!P5</f>
        <v>IT-006</v>
      </c>
      <c r="D5" s="2">
        <f>Hoja1!N5</f>
        <v>7</v>
      </c>
      <c r="E5" s="3" t="str">
        <f t="shared" si="0"/>
        <v/>
      </c>
      <c r="F5" s="3" t="str">
        <f t="shared" si="0"/>
        <v/>
      </c>
      <c r="G5" s="3" t="str">
        <f t="shared" si="0"/>
        <v/>
      </c>
      <c r="H5" s="3" t="str">
        <f t="shared" si="0"/>
        <v/>
      </c>
      <c r="I5" s="3" t="str">
        <f t="shared" si="0"/>
        <v/>
      </c>
      <c r="J5" s="7"/>
    </row>
    <row r="6" spans="1:10">
      <c r="A6" s="2" t="str">
        <f>Hoja1!A6</f>
        <v>US-005</v>
      </c>
      <c r="B6" t="str">
        <f>Hoja1!C6</f>
        <v>Consulta de entradas disponibles</v>
      </c>
      <c r="C6" s="2" t="str">
        <f>Hoja1!P6</f>
        <v>IT-002</v>
      </c>
      <c r="D6" s="2">
        <f>Hoja1!N6</f>
        <v>4</v>
      </c>
      <c r="E6" s="3" t="str">
        <f t="shared" si="0"/>
        <v/>
      </c>
      <c r="F6" s="7"/>
      <c r="G6" s="3" t="str">
        <f t="shared" si="0"/>
        <v/>
      </c>
      <c r="H6" s="3" t="str">
        <f t="shared" si="0"/>
        <v/>
      </c>
      <c r="I6" s="3" t="str">
        <f t="shared" si="0"/>
        <v/>
      </c>
      <c r="J6" s="3" t="str">
        <f t="shared" si="0"/>
        <v/>
      </c>
    </row>
    <row r="7" spans="1:10">
      <c r="A7" s="2" t="str">
        <f>Hoja1!A7</f>
        <v>US-006</v>
      </c>
      <c r="B7" t="str">
        <f>Hoja1!C7</f>
        <v>Adquisición simulada de entradas</v>
      </c>
      <c r="C7" s="2" t="str">
        <f>Hoja1!P7</f>
        <v>IT-004</v>
      </c>
      <c r="D7" s="2">
        <f>Hoja1!N7</f>
        <v>8</v>
      </c>
      <c r="E7" s="3" t="str">
        <f t="shared" si="0"/>
        <v/>
      </c>
      <c r="F7" s="3" t="str">
        <f t="shared" si="0"/>
        <v/>
      </c>
      <c r="G7" s="3" t="str">
        <f t="shared" si="0"/>
        <v/>
      </c>
      <c r="H7" s="7"/>
      <c r="I7" s="3" t="str">
        <f t="shared" si="0"/>
        <v/>
      </c>
      <c r="J7" s="3" t="str">
        <f t="shared" si="0"/>
        <v/>
      </c>
    </row>
    <row r="8" spans="1:10">
      <c r="A8" s="2" t="str">
        <f>Hoja1!A8</f>
        <v>US-007</v>
      </c>
      <c r="B8" t="str">
        <f>Hoja1!C8</f>
        <v>Consulta de entradas adquiridas</v>
      </c>
      <c r="C8" s="2" t="str">
        <f>Hoja1!P8</f>
        <v>IT-005</v>
      </c>
      <c r="D8" s="2">
        <f>Hoja1!N8</f>
        <v>4</v>
      </c>
      <c r="E8" s="3" t="str">
        <f t="shared" si="0"/>
        <v/>
      </c>
      <c r="F8" s="3" t="str">
        <f t="shared" si="0"/>
        <v/>
      </c>
      <c r="G8" s="3" t="str">
        <f t="shared" si="0"/>
        <v/>
      </c>
      <c r="H8" s="3" t="str">
        <f t="shared" si="0"/>
        <v/>
      </c>
      <c r="I8" s="7"/>
      <c r="J8" s="3" t="str">
        <f t="shared" si="0"/>
        <v/>
      </c>
    </row>
    <row r="9" spans="1:10">
      <c r="A9" s="2" t="str">
        <f>Hoja1!A9</f>
        <v>US-008</v>
      </c>
      <c r="B9" t="str">
        <f>Hoja1!C9</f>
        <v>Gestión de entradas por administrador</v>
      </c>
      <c r="C9" s="2" t="str">
        <f>Hoja1!P9</f>
        <v>IT-003</v>
      </c>
      <c r="D9" s="2">
        <f>Hoja1!N9</f>
        <v>7</v>
      </c>
      <c r="E9" s="3" t="str">
        <f t="shared" si="0"/>
        <v/>
      </c>
      <c r="F9" s="3" t="str">
        <f t="shared" si="0"/>
        <v/>
      </c>
      <c r="G9" s="7"/>
      <c r="H9" s="3" t="str">
        <f t="shared" si="0"/>
        <v/>
      </c>
      <c r="I9" s="3" t="str">
        <f t="shared" si="0"/>
        <v/>
      </c>
      <c r="J9" s="3" t="str">
        <f t="shared" si="0"/>
        <v/>
      </c>
    </row>
    <row r="10" spans="1:10">
      <c r="A10" s="2" t="str">
        <f>Hoja1!A10</f>
        <v>US-009</v>
      </c>
      <c r="B10" t="str">
        <f>Hoja1!C10</f>
        <v>Consulta y filtrado de espacios disponibles</v>
      </c>
      <c r="C10" s="2" t="str">
        <f>Hoja1!P10</f>
        <v>IT-001</v>
      </c>
      <c r="D10" s="2">
        <f>Hoja1!N10</f>
        <v>5</v>
      </c>
      <c r="E10" s="7"/>
      <c r="F10" s="3" t="str">
        <f t="shared" si="0"/>
        <v/>
      </c>
      <c r="G10" s="3" t="str">
        <f t="shared" si="0"/>
        <v/>
      </c>
      <c r="H10" s="3" t="str">
        <f t="shared" si="0"/>
        <v/>
      </c>
      <c r="I10" s="3" t="str">
        <f t="shared" si="0"/>
        <v/>
      </c>
      <c r="J10" s="3" t="str">
        <f t="shared" si="0"/>
        <v/>
      </c>
    </row>
    <row r="11" spans="1:10">
      <c r="A11" s="2" t="str">
        <f>Hoja1!A11</f>
        <v>US-010</v>
      </c>
      <c r="B11" t="str">
        <f>Hoja1!C11</f>
        <v>Reserva de un espacio</v>
      </c>
      <c r="C11" s="2" t="str">
        <f>Hoja1!P11</f>
        <v>IT-005</v>
      </c>
      <c r="D11" s="2">
        <f>Hoja1!N11</f>
        <v>8</v>
      </c>
      <c r="E11" s="3" t="str">
        <f t="shared" si="0"/>
        <v/>
      </c>
      <c r="F11" s="3" t="str">
        <f t="shared" si="0"/>
        <v/>
      </c>
      <c r="G11" s="3" t="str">
        <f t="shared" si="0"/>
        <v/>
      </c>
      <c r="H11" s="3" t="str">
        <f t="shared" si="0"/>
        <v/>
      </c>
      <c r="I11" s="7"/>
      <c r="J11" s="3" t="str">
        <f t="shared" si="0"/>
        <v/>
      </c>
    </row>
    <row r="12" spans="1:10">
      <c r="A12" s="2" t="str">
        <f>Hoja1!A12</f>
        <v>US-011</v>
      </c>
      <c r="B12" t="str">
        <f>Hoja1!C12</f>
        <v>Gestión de espacios</v>
      </c>
      <c r="C12" s="2" t="str">
        <f>Hoja1!P12</f>
        <v>IT-006</v>
      </c>
      <c r="D12" s="2">
        <f>Hoja1!N12</f>
        <v>7</v>
      </c>
      <c r="E12" s="3" t="str">
        <f t="shared" ref="E12:J20" si="1">IF($C12=E$1,"■","")</f>
        <v/>
      </c>
      <c r="F12" s="3" t="str">
        <f t="shared" si="1"/>
        <v/>
      </c>
      <c r="G12" s="3" t="str">
        <f t="shared" si="1"/>
        <v/>
      </c>
      <c r="H12" s="3" t="str">
        <f t="shared" si="1"/>
        <v/>
      </c>
      <c r="I12" s="3" t="str">
        <f t="shared" si="1"/>
        <v/>
      </c>
      <c r="J12" s="7"/>
    </row>
    <row r="13" spans="1:10">
      <c r="A13" s="2" t="str">
        <f>Hoja1!A13</f>
        <v>US-012</v>
      </c>
      <c r="B13" t="str">
        <f>Hoja1!C13</f>
        <v>Consulta de servicios</v>
      </c>
      <c r="C13" s="2" t="str">
        <f>Hoja1!P13</f>
        <v>IT-002</v>
      </c>
      <c r="D13" s="2">
        <f>Hoja1!N13</f>
        <v>4</v>
      </c>
      <c r="E13" s="3" t="str">
        <f t="shared" si="1"/>
        <v/>
      </c>
      <c r="F13" s="7"/>
      <c r="G13" s="3" t="str">
        <f t="shared" si="1"/>
        <v/>
      </c>
      <c r="H13" s="3" t="str">
        <f t="shared" si="1"/>
        <v/>
      </c>
      <c r="I13" s="3" t="str">
        <f t="shared" si="1"/>
        <v/>
      </c>
      <c r="J13" s="3" t="str">
        <f t="shared" si="1"/>
        <v/>
      </c>
    </row>
    <row r="14" spans="1:10">
      <c r="A14" s="2" t="str">
        <f>Hoja1!A14</f>
        <v>US-013</v>
      </c>
      <c r="B14" t="str">
        <f>Hoja1!C14</f>
        <v>Adquisición de un servicio</v>
      </c>
      <c r="C14" s="2" t="str">
        <f>Hoja1!P14</f>
        <v>IT-003</v>
      </c>
      <c r="D14" s="2">
        <f>Hoja1!N14</f>
        <v>7</v>
      </c>
      <c r="E14" s="3" t="str">
        <f t="shared" si="1"/>
        <v/>
      </c>
      <c r="F14" s="3" t="str">
        <f t="shared" si="1"/>
        <v/>
      </c>
      <c r="G14" s="7"/>
      <c r="H14" s="3" t="str">
        <f t="shared" si="1"/>
        <v/>
      </c>
      <c r="I14" s="3" t="str">
        <f t="shared" si="1"/>
        <v/>
      </c>
      <c r="J14" s="3" t="str">
        <f t="shared" si="1"/>
        <v/>
      </c>
    </row>
    <row r="15" spans="1:10">
      <c r="A15" s="2" t="str">
        <f>Hoja1!A15</f>
        <v>US-014</v>
      </c>
      <c r="B15" t="str">
        <f>Hoja1!C15</f>
        <v>Gestión de servicios</v>
      </c>
      <c r="C15" s="2" t="str">
        <f>Hoja1!P15</f>
        <v>IT-006</v>
      </c>
      <c r="D15" s="2">
        <f>Hoja1!N15</f>
        <v>7</v>
      </c>
      <c r="E15" s="3" t="str">
        <f t="shared" si="1"/>
        <v/>
      </c>
      <c r="F15" s="3" t="str">
        <f t="shared" si="1"/>
        <v/>
      </c>
      <c r="G15" s="3" t="str">
        <f t="shared" si="1"/>
        <v/>
      </c>
      <c r="H15" s="3" t="str">
        <f t="shared" si="1"/>
        <v/>
      </c>
      <c r="I15" s="3" t="str">
        <f t="shared" si="1"/>
        <v/>
      </c>
      <c r="J15" s="7"/>
    </row>
    <row r="16" spans="1:10">
      <c r="A16" s="2" t="str">
        <f>Hoja1!A16</f>
        <v>US-015</v>
      </c>
      <c r="B16" t="str">
        <f>Hoja1!C16</f>
        <v>Consulta de información de proveedores</v>
      </c>
      <c r="C16" s="2" t="str">
        <f>Hoja1!P16</f>
        <v>IT-001</v>
      </c>
      <c r="D16" s="2">
        <f>Hoja1!N16</f>
        <v>4</v>
      </c>
      <c r="E16" s="7"/>
      <c r="F16" s="3" t="str">
        <f t="shared" si="1"/>
        <v/>
      </c>
      <c r="G16" s="3" t="str">
        <f t="shared" si="1"/>
        <v/>
      </c>
      <c r="H16" s="3" t="str">
        <f t="shared" si="1"/>
        <v/>
      </c>
      <c r="I16" s="3" t="str">
        <f t="shared" si="1"/>
        <v/>
      </c>
      <c r="J16" s="3" t="str">
        <f t="shared" si="1"/>
        <v/>
      </c>
    </row>
    <row r="17" spans="1:10">
      <c r="A17" s="2" t="str">
        <f>Hoja1!A17</f>
        <v>US-016</v>
      </c>
      <c r="B17" t="str">
        <f>Hoja1!C17</f>
        <v>Gestión de proveedores</v>
      </c>
      <c r="C17" s="2" t="str">
        <f>Hoja1!P17</f>
        <v>IT-005</v>
      </c>
      <c r="D17" s="2">
        <f>Hoja1!N17</f>
        <v>6</v>
      </c>
      <c r="E17" s="3" t="str">
        <f t="shared" si="1"/>
        <v/>
      </c>
      <c r="F17" s="3" t="str">
        <f t="shared" si="1"/>
        <v/>
      </c>
      <c r="G17" s="3" t="str">
        <f t="shared" si="1"/>
        <v/>
      </c>
      <c r="H17" s="3" t="str">
        <f t="shared" si="1"/>
        <v/>
      </c>
      <c r="I17" s="7"/>
      <c r="J17" s="3" t="str">
        <f t="shared" si="1"/>
        <v/>
      </c>
    </row>
    <row r="18" spans="1:10">
      <c r="A18" s="2" t="str">
        <f>Hoja1!A18</f>
        <v>US-017</v>
      </c>
      <c r="B18" t="str">
        <f>Hoja1!C18</f>
        <v>Consulta de productos de merchandising</v>
      </c>
      <c r="C18" s="2" t="str">
        <f>Hoja1!P18</f>
        <v>IT-004</v>
      </c>
      <c r="D18" s="2">
        <f>Hoja1!N18</f>
        <v>4</v>
      </c>
      <c r="E18" s="3" t="str">
        <f t="shared" si="1"/>
        <v/>
      </c>
      <c r="F18" s="3" t="str">
        <f t="shared" si="1"/>
        <v/>
      </c>
      <c r="G18" s="3" t="str">
        <f t="shared" si="1"/>
        <v/>
      </c>
      <c r="H18" s="7"/>
      <c r="I18" s="3" t="str">
        <f t="shared" si="1"/>
        <v/>
      </c>
      <c r="J18" s="3" t="str">
        <f t="shared" si="1"/>
        <v/>
      </c>
    </row>
    <row r="19" spans="1:10">
      <c r="A19" s="2" t="str">
        <f>Hoja1!A19</f>
        <v>US-018</v>
      </c>
      <c r="B19" t="str">
        <f>Hoja1!C19</f>
        <v>Adquisición simulada y gestión de merchandising</v>
      </c>
      <c r="C19" s="2" t="str">
        <f>Hoja1!P19</f>
        <v>IT-005</v>
      </c>
      <c r="D19" s="2">
        <f>Hoja1!N19</f>
        <v>8</v>
      </c>
      <c r="E19" s="3" t="str">
        <f t="shared" si="1"/>
        <v/>
      </c>
      <c r="F19" s="3" t="str">
        <f t="shared" si="1"/>
        <v/>
      </c>
      <c r="G19" s="3" t="str">
        <f t="shared" si="1"/>
        <v/>
      </c>
      <c r="H19" s="3" t="str">
        <f t="shared" si="1"/>
        <v/>
      </c>
      <c r="I19" s="7"/>
      <c r="J19" s="3" t="str">
        <f t="shared" si="1"/>
        <v/>
      </c>
    </row>
    <row r="20" spans="1:10">
      <c r="A20" s="2" t="str">
        <f>Hoja1!A20</f>
        <v>US-019</v>
      </c>
      <c r="B20" t="str">
        <f>Hoja1!C20</f>
        <v>Registro y gestión de incidencias</v>
      </c>
      <c r="C20" s="2" t="str">
        <f>Hoja1!P20</f>
        <v>IT-004</v>
      </c>
      <c r="D20" s="2">
        <f>Hoja1!N20</f>
        <v>8</v>
      </c>
      <c r="E20" s="3" t="str">
        <f t="shared" si="1"/>
        <v/>
      </c>
      <c r="F20" s="3" t="str">
        <f t="shared" si="1"/>
        <v/>
      </c>
      <c r="G20" s="3" t="str">
        <f t="shared" si="1"/>
        <v/>
      </c>
      <c r="H20" s="7"/>
      <c r="I20" s="3" t="str">
        <f t="shared" si="1"/>
        <v/>
      </c>
      <c r="J20" s="3" t="str">
        <f t="shared" si="1"/>
        <v/>
      </c>
    </row>
    <row r="21" spans="1:10" ht="22.95" customHeight="1">
      <c r="A21" s="5" t="s">
        <v>155</v>
      </c>
      <c r="B21" s="4"/>
      <c r="C21" s="5"/>
      <c r="D21" s="5">
        <f>SUM(D2:D20)</f>
        <v>115</v>
      </c>
      <c r="E21" s="5"/>
      <c r="F21" s="5"/>
      <c r="G21" s="5"/>
      <c r="H21" s="5"/>
      <c r="I21" s="5"/>
      <c r="J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Reparto</vt:lpstr>
      <vt:lpstr>Planificacion inicial</vt:lpstr>
      <vt:lpstr>Dependencias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Arias</dc:creator>
  <cp:lastModifiedBy>Raúl Arias Santiago</cp:lastModifiedBy>
  <dcterms:created xsi:type="dcterms:W3CDTF">2026-10-16T13:44:33Z</dcterms:created>
  <dcterms:modified xsi:type="dcterms:W3CDTF">2026-10-16T13:44:33Z</dcterms:modified>
</cp:coreProperties>
</file>