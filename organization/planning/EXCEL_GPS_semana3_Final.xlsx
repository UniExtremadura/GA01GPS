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a\Downloads\"/>
    </mc:Choice>
  </mc:AlternateContent>
  <xr:revisionPtr revIDLastSave="0" documentId="8_{C094A6AE-50AE-4E24-A84D-1959922140C9}" xr6:coauthVersionLast="47" xr6:coauthVersionMax="47" xr10:uidLastSave="{00000000-0000-0000-0000-000000000000}"/>
  <bookViews>
    <workbookView xWindow="-108" yWindow="-108" windowWidth="23256" windowHeight="12456" activeTab="2" xr2:uid="{C316A3C4-D505-4102-959C-41F4999768E7}"/>
  </bookViews>
  <sheets>
    <sheet name="Hoja1" sheetId="1" r:id="rId1"/>
    <sheet name="Planifiacion inicial" sheetId="3" r:id="rId2"/>
    <sheet name="Gant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3" l="1"/>
  <c r="B23" i="3"/>
  <c r="B24" i="3" s="1"/>
  <c r="B20" i="3"/>
  <c r="B22" i="3"/>
  <c r="B13" i="3"/>
  <c r="B14" i="3"/>
  <c r="B15" i="3"/>
  <c r="K2" i="3"/>
  <c r="L2" i="3"/>
  <c r="L7" i="3" s="1"/>
  <c r="M2" i="3"/>
  <c r="M7" i="3" s="1"/>
  <c r="N2" i="3"/>
  <c r="K3" i="3"/>
  <c r="L3" i="3"/>
  <c r="M3" i="3"/>
  <c r="N3" i="3"/>
  <c r="O3" i="3"/>
  <c r="K4" i="3"/>
  <c r="L4" i="3"/>
  <c r="M4" i="3"/>
  <c r="N4" i="3"/>
  <c r="K5" i="3"/>
  <c r="L5" i="3"/>
  <c r="M5" i="3"/>
  <c r="N5" i="3"/>
  <c r="K6" i="3"/>
  <c r="O6" i="3" s="1"/>
  <c r="L6" i="3"/>
  <c r="M6" i="3"/>
  <c r="N6" i="3"/>
  <c r="G2" i="3"/>
  <c r="H2" i="3"/>
  <c r="G3" i="3"/>
  <c r="I3" i="3" s="1"/>
  <c r="H3" i="3"/>
  <c r="G4" i="3"/>
  <c r="I4" i="3" s="1"/>
  <c r="H4" i="3"/>
  <c r="G5" i="3"/>
  <c r="I5" i="3" s="1"/>
  <c r="H5" i="3"/>
  <c r="G6" i="3"/>
  <c r="H6" i="3"/>
  <c r="B7" i="3"/>
  <c r="C7" i="3"/>
  <c r="C12" i="3" s="1"/>
  <c r="D7" i="3"/>
  <c r="C13" i="3" s="1"/>
  <c r="E7" i="3"/>
  <c r="C14" i="3" s="1"/>
  <c r="F7" i="3"/>
  <c r="C15" i="3" s="1"/>
  <c r="B19" i="3" l="1"/>
  <c r="B21" i="3" s="1"/>
  <c r="I6" i="3"/>
  <c r="O5" i="3"/>
  <c r="N7" i="3"/>
  <c r="D15" i="3"/>
  <c r="D14" i="3"/>
  <c r="I2" i="3"/>
  <c r="D12" i="3"/>
  <c r="K7" i="3"/>
  <c r="D13" i="3"/>
  <c r="O4" i="3"/>
  <c r="O2" i="3"/>
  <c r="H7" i="3"/>
  <c r="G7" i="3"/>
  <c r="I7" i="3" l="1"/>
  <c r="O7" i="3"/>
</calcChain>
</file>

<file path=xl/sharedStrings.xml><?xml version="1.0" encoding="utf-8"?>
<sst xmlns="http://schemas.openxmlformats.org/spreadsheetml/2006/main" count="310" uniqueCount="170">
  <si>
    <t>ID</t>
  </si>
  <si>
    <t>Épica</t>
  </si>
  <si>
    <t>Requisito</t>
  </si>
  <si>
    <t>Prioridad MoSCoW</t>
  </si>
  <si>
    <t>Justificación por valor</t>
  </si>
  <si>
    <t>Justificación por riesgo</t>
  </si>
  <si>
    <t>Justificación por dependencias</t>
  </si>
  <si>
    <t>US-001</t>
  </si>
  <si>
    <t>EP-001</t>
  </si>
  <si>
    <t>Registro de usuario</t>
  </si>
  <si>
    <t>Es necesario para que los asistentes puedan disponer de una cuenta y utilizar las funcionalidades destinadas a usuarios registrados.</t>
  </si>
  <si>
    <t>Si el registro no funciona correctamente, los nuevos usuarios no podrán acceder a las funcionalidades que requieren una cuenta.</t>
  </si>
  <si>
    <t>Es requisito previo para US-002 cuando se trate de usuarios creados mediante registro.</t>
  </si>
  <si>
    <t>US-002</t>
  </si>
  <si>
    <t>Inicio y cierre de sesión</t>
  </si>
  <si>
    <t>Es fundamental para identificar a los usuarios y permitir el acceso a las funcionalidades correspondientes a cada rol.</t>
  </si>
  <si>
    <t>Un fallo en la autenticación puede permitir accesos incorrectos o impedir el uso de gran parte de la plataforma.</t>
  </si>
  <si>
    <t>Es dependencia de US-003, US-004, US-006, US-007, US-008, US-010, US-011, US-013, US-014, US-016, US-018 y determinadas operaciones de US-019.</t>
  </si>
  <si>
    <t>US-003</t>
  </si>
  <si>
    <t>Consulta y modificación del perfil</t>
  </si>
  <si>
    <t>Aporta autonomía al usuario para consultar y mantener actualizada la información de su cuenta.</t>
  </si>
  <si>
    <t>Su ausencia reduce la experiencia del usuario, pero no impide el funcionamiento de las funcionalidades principales.</t>
  </si>
  <si>
    <t>Depende de US-002 para garantizar que cada usuario acceda a su propio perfil.</t>
  </si>
  <si>
    <t>US-004</t>
  </si>
  <si>
    <t>Gestión de usuarios por administrador</t>
  </si>
  <si>
    <t>Permite al administrador controlar y mantener las cuentas utilizadas en la plataforma.</t>
  </si>
  <si>
    <t>Una gestión incorrecta de usuarios puede provocar problemas de permisos y de integridad de la información.</t>
  </si>
  <si>
    <t>Depende de US-002, ya que el administrador debe estar autenticado.</t>
  </si>
  <si>
    <t>US-005</t>
  </si>
  <si>
    <t>EP-002</t>
  </si>
  <si>
    <t>Consulta de entradas disponibles</t>
  </si>
  <si>
    <t>La consulta de entradas es una de las funcionalidades principales de una plataforma relacionada con un festival.</t>
  </si>
  <si>
    <t>Si la información de disponibilidad es incorrecta, el usuario podría intentar adquirir entradas que no están disponibles.</t>
  </si>
  <si>
    <t>Es requisito previo para US-006 y está relacionada con US-008, que mantiene la información de las entradas.</t>
  </si>
  <si>
    <t>US-006</t>
  </si>
  <si>
    <t>Adquisición simulada de entradas</t>
  </si>
  <si>
    <t>Permite representar una de las operaciones principales del sistema sin realizar pagos económicos reales.</t>
  </si>
  <si>
    <t>Un fallo puede producir adquisiciones incorrectas o inconsistencias en la disponibilidad de las entradas.</t>
  </si>
  <si>
    <t>Depende de US-002 para identificar al usuario y de US-005 para seleccionar una entrada disponible.</t>
  </si>
  <si>
    <t>US-007</t>
  </si>
  <si>
    <t>Consulta de entradas adquiridas</t>
  </si>
  <si>
    <t>Permite al usuario revisar las entradas que tiene asociadas a su cuenta.</t>
  </si>
  <si>
    <t>Si falla, el usuario pierde visibilidad sobre sus adquisiciones, aunque el resto del sistema puede seguir funcionando.</t>
  </si>
  <si>
    <t>Depende de US-002 y US-006, ya que es necesario identificar al usuario y disponer de adquisiciones registradas.</t>
  </si>
  <si>
    <t>US-008</t>
  </si>
  <si>
    <t>Gestión de entradas por administrador</t>
  </si>
  <si>
    <t>Permite mantener actualizado el catálogo y la disponibilidad de las entradas que posteriormente consultan los usuarios.</t>
  </si>
  <si>
    <t>Una gestión incorrecta puede provocar información errónea sobre tipos de entrada o disponibilidad.</t>
  </si>
  <si>
    <t>Depende de US-002 para el acceso administrativo y está relacionada con US-005 y US-006.</t>
  </si>
  <si>
    <t>US-009</t>
  </si>
  <si>
    <t>EP-003</t>
  </si>
  <si>
    <t>Consulta y filtrado de espacios disponibles</t>
  </si>
  <si>
    <t>Permite a los usuarios conocer y localizar los espacios disponibles en la plataforma.</t>
  </si>
  <si>
    <t>Información incorrecta sobre los espacios puede afectar a las funcionalidades posteriores relacionadas con ellos.</t>
  </si>
  <si>
    <t>Es requisito previo para US-010 y está relacionada con US-011.</t>
  </si>
  <si>
    <t>US-010</t>
  </si>
  <si>
    <t>Reserva de un espacio</t>
  </si>
  <si>
    <t>Permite al usuario realizar una operación sobre los espacios consultados y amplía la utilidad del módulo.</t>
  </si>
  <si>
    <t>Una reserva incorrecta puede producir conflictos de disponibilidad o reservas duplicadas.</t>
  </si>
  <si>
    <t>Depende de US-002 para identificar al usuario y de US-009 para consultar los espacios disponibles.</t>
  </si>
  <si>
    <t>US-011</t>
  </si>
  <si>
    <t>Gestión de espacios</t>
  </si>
  <si>
    <t>Permite mantener actualizada la información y disponibilidad de los espacios utilizados por el sistema.</t>
  </si>
  <si>
    <t>Una gestión incorrecta puede provocar que los usuarios consulten o intenten reservar espacios que no deberían estar disponibles.</t>
  </si>
  <si>
    <t>Depende de US-002 para controlar el acceso a las funciones de gestión y está relacionada con US-009 y US-010.</t>
  </si>
  <si>
    <t>US-012</t>
  </si>
  <si>
    <t>EP-004</t>
  </si>
  <si>
    <t>Consulta de servicios</t>
  </si>
  <si>
    <t>Permite conocer los servicios disponibles en Subsonic Festival y constituye la base funcional del módulo de servicios.</t>
  </si>
  <si>
    <t>Información incorrecta puede provocar que el usuario seleccione servicios que no están disponibles.</t>
  </si>
  <si>
    <t>Es requisito previo para US-013 y está relacionada con US-014.</t>
  </si>
  <si>
    <t>US-013</t>
  </si>
  <si>
    <t>Adquisición de un servicio</t>
  </si>
  <si>
    <t>Permite al usuario utilizar los servicios ofrecidos y aporta funcionalidad adicional a la plataforma.</t>
  </si>
  <si>
    <t>Un fallo puede producir operaciones incorrectas o asociaciones erróneas entre servicios y usuarios.</t>
  </si>
  <si>
    <t>Depende de US-002 para identificar al usuario y de US-012 para seleccionar un servicio disponible.</t>
  </si>
  <si>
    <t>US-014</t>
  </si>
  <si>
    <t>Gestión de servicios</t>
  </si>
  <si>
    <t>Permite mantener actualizada la información y disponibilidad de los servicios ofrecidos en la plataforma.</t>
  </si>
  <si>
    <t>Una gestión incorrecta puede provocar que se muestren servicios inexistentes o no disponibles.</t>
  </si>
  <si>
    <t>Depende de US-002 para controlar el acceso y está relacionada con US-012 y US-013.</t>
  </si>
  <si>
    <t>US-015</t>
  </si>
  <si>
    <t>EP-005</t>
  </si>
  <si>
    <t>Consulta de información de proveedores</t>
  </si>
  <si>
    <t>Permite consultar los proveedores asociados a la plataforma y conocer la información disponible sobre ellos.</t>
  </si>
  <si>
    <t>Un fallo afecta a la información mostrada al usuario, pero no bloquea las funcionalidades principales del sistema.</t>
  </si>
  <si>
    <t>Está relacionada con US-016, que mantiene actualizada la información de los proveedores.</t>
  </si>
  <si>
    <t>US-016</t>
  </si>
  <si>
    <t>Gestión de proveedores</t>
  </si>
  <si>
    <t>Permite mantener organizada y actualizada la información de los proveedores asociados a Subsonic Festival.</t>
  </si>
  <si>
    <t>Una gestión incorrecta puede generar información incoherente o proveedores no válidos dentro de la plataforma.</t>
  </si>
  <si>
    <t>Depende de US-002 para restringir la gestión a usuarios autorizados y está relacionada con US-015.</t>
  </si>
  <si>
    <t>US-017</t>
  </si>
  <si>
    <t>EP-006</t>
  </si>
  <si>
    <t>Consulta de productos de merchandising</t>
  </si>
  <si>
    <t>Aporta una funcionalidad complementaria al festival al permitir consultar productos de merchandising.</t>
  </si>
  <si>
    <t>Su ausencia reduce las funcionalidades disponibles, pero no afecta al funcionamiento de los módulos principales del sistema.</t>
  </si>
  <si>
    <t>Es requisito previo para US-018.</t>
  </si>
  <si>
    <t>US-018</t>
  </si>
  <si>
    <t>Adquisición simulada y gestión de merchandising</t>
  </si>
  <si>
    <t>Añade valor complementario mediante la simulación de adquisiciones y la administración del catálogo de merchandising.</t>
  </si>
  <si>
    <t>Los errores pueden producir inconsistencias en productos o adquisiciones, pero el módulo no es crítico para el funcionamiento principal de Subsonic Festival.</t>
  </si>
  <si>
    <t>Depende de US-002 para las operaciones que requieren autenticación y de US-017 para consultar los productos disponibles.</t>
  </si>
  <si>
    <t>US-019</t>
  </si>
  <si>
    <t>EP-007</t>
  </si>
  <si>
    <t>Registro y gestión de incidencias</t>
  </si>
  <si>
    <t>Permite comunicar problemas y realizar un seguimiento organizado de las incidencias registradas en la plataforma.</t>
  </si>
  <si>
    <t>Si no está disponible, los usuarios pierden un mecanismo de comunicación de problemas, aunque las funciones principales pueden seguir utilizándose.</t>
  </si>
  <si>
    <t>Depende de US-002 para aquellas operaciones que requieran identificar al usuario o acceder a funciones administrativas.</t>
  </si>
  <si>
    <t>Estimación consensuada (h-persona)</t>
  </si>
  <si>
    <t>Estimación Raúl (h)</t>
  </si>
  <si>
    <t>Estimación Alfonso (h)</t>
  </si>
  <si>
    <t>Estimación Juan Antonio (h)</t>
  </si>
  <si>
    <t>Estimación Javier (h)</t>
  </si>
  <si>
    <t>Estimación Manuel (h)</t>
  </si>
  <si>
    <t>Dependencias</t>
  </si>
  <si>
    <t>Iteración</t>
  </si>
  <si>
    <t>Responsable</t>
  </si>
  <si>
    <t>Estado</t>
  </si>
  <si>
    <t>Ninguna</t>
  </si>
  <si>
    <t>US-002, US-005</t>
  </si>
  <si>
    <t>US-002, US-006</t>
  </si>
  <si>
    <t>US-002, US-009</t>
  </si>
  <si>
    <t>US-002, US-012</t>
  </si>
  <si>
    <t>US-002, US-017</t>
  </si>
  <si>
    <t>IT-001</t>
  </si>
  <si>
    <t>IT-002</t>
  </si>
  <si>
    <t>IT-003</t>
  </si>
  <si>
    <t>IT-004</t>
  </si>
  <si>
    <t>Manuel Lorenzo</t>
  </si>
  <si>
    <t>Raúl Arias</t>
  </si>
  <si>
    <t>Javi López</t>
  </si>
  <si>
    <t>Juan Antonio</t>
  </si>
  <si>
    <t>Alfonso Guillén</t>
  </si>
  <si>
    <t>Integrante</t>
  </si>
  <si>
    <t>Capacidad semanal</t>
  </si>
  <si>
    <t>Total asignado</t>
  </si>
  <si>
    <t>Capacidad total</t>
  </si>
  <si>
    <t>Margen</t>
  </si>
  <si>
    <t>TOTAL EQUIPO</t>
  </si>
  <si>
    <t>Precio por hora (€)</t>
  </si>
  <si>
    <t>Coste IT-001</t>
  </si>
  <si>
    <t>Coste IT-002</t>
  </si>
  <si>
    <t>Coste IT-003</t>
  </si>
  <si>
    <t>Coste IT-004</t>
  </si>
  <si>
    <t>Coste total (€)</t>
  </si>
  <si>
    <t>Control de historias</t>
  </si>
  <si>
    <t>Horas de historias</t>
  </si>
  <si>
    <t>Horas asignadas</t>
  </si>
  <si>
    <t>Diferencia</t>
  </si>
  <si>
    <t>RESUMEN DE VIABILIDAD</t>
  </si>
  <si>
    <t>Valor</t>
  </si>
  <si>
    <t>Horas estimadas del proyecto</t>
  </si>
  <si>
    <t>Horas disponibles del equipo</t>
  </si>
  <si>
    <t>Margen de horas</t>
  </si>
  <si>
    <t>Coste estimado del proyecto</t>
  </si>
  <si>
    <t xml:space="preserve">Coste máximo de capacidad </t>
  </si>
  <si>
    <t>Margen frente a capacidad presupuestada</t>
  </si>
  <si>
    <t>Pendiente</t>
  </si>
  <si>
    <t>Orden de ejecución.</t>
  </si>
  <si>
    <t>Historia</t>
  </si>
  <si>
    <t>Sprint 1</t>
  </si>
  <si>
    <t>Sprint 2</t>
  </si>
  <si>
    <t>Sprint 3</t>
  </si>
  <si>
    <t>Sprint 4</t>
  </si>
  <si>
    <t>US-002, US-015</t>
  </si>
  <si>
    <t>Estimación inical(h-persona)</t>
  </si>
  <si>
    <t>MUST</t>
  </si>
  <si>
    <t>SHOULD</t>
  </si>
  <si>
    <t>COULD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</si>
</sst>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047C-0DBF-4EAE-B72C-C31735D6F13B}">
  <dimension ref="A1:S25"/>
  <sheetViews>
    <sheetView topLeftCell="K1" workbookViewId="0">
      <selection activeCell="D3" sqref="D3"/>
    </sheetView>
  </sheetViews>
  <sheetFormatPr baseColWidth="10" defaultRowHeight="14.4"/>
  <cols>
    <col min="3" max="3" width="41.88671875" customWidth="1"/>
    <col min="4" max="4" width="19.21875" customWidth="1"/>
    <col min="5" max="5" width="105.44140625" customWidth="1"/>
    <col min="6" max="6" width="137.5546875" customWidth="1"/>
    <col min="7" max="7" width="122.33203125" customWidth="1"/>
    <col min="8" max="8" width="26.88671875" customWidth="1"/>
    <col min="9" max="9" width="22.77734375" customWidth="1"/>
    <col min="10" max="10" width="25.109375" customWidth="1"/>
    <col min="11" max="11" width="24.88671875" customWidth="1"/>
    <col min="12" max="12" width="23" customWidth="1"/>
    <col min="13" max="13" width="27.5546875" customWidth="1"/>
    <col min="14" max="14" width="34.77734375" customWidth="1"/>
    <col min="15" max="15" width="20.5546875" customWidth="1"/>
    <col min="16" max="16" width="14.5546875" customWidth="1"/>
    <col min="17" max="17" width="13.44140625" customWidth="1"/>
    <col min="18" max="18" width="17.6640625" customWidth="1"/>
    <col min="19" max="19" width="23.109375" customWidth="1"/>
  </cols>
  <sheetData>
    <row r="1" spans="1:19" s="1" customFormat="1" ht="30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110</v>
      </c>
      <c r="I1" s="9" t="s">
        <v>111</v>
      </c>
      <c r="J1" s="9" t="s">
        <v>112</v>
      </c>
      <c r="K1" s="9" t="s">
        <v>113</v>
      </c>
      <c r="L1" s="9" t="s">
        <v>114</v>
      </c>
      <c r="M1" s="9" t="s">
        <v>166</v>
      </c>
      <c r="N1" s="9" t="s">
        <v>109</v>
      </c>
      <c r="O1" s="9" t="s">
        <v>115</v>
      </c>
      <c r="P1" s="9" t="s">
        <v>116</v>
      </c>
      <c r="Q1" s="9" t="s">
        <v>117</v>
      </c>
      <c r="R1" s="9" t="s">
        <v>118</v>
      </c>
      <c r="S1" s="9" t="s">
        <v>159</v>
      </c>
    </row>
    <row r="2" spans="1:19" ht="28.8">
      <c r="A2" s="10" t="s">
        <v>7</v>
      </c>
      <c r="B2" s="10" t="s">
        <v>8</v>
      </c>
      <c r="C2" s="11" t="s">
        <v>9</v>
      </c>
      <c r="D2" s="10" t="s">
        <v>167</v>
      </c>
      <c r="E2" s="11" t="s">
        <v>10</v>
      </c>
      <c r="F2" s="11" t="s">
        <v>11</v>
      </c>
      <c r="G2" s="11" t="s">
        <v>12</v>
      </c>
      <c r="H2" s="12">
        <v>6</v>
      </c>
      <c r="I2" s="10">
        <v>7</v>
      </c>
      <c r="J2" s="10">
        <v>8</v>
      </c>
      <c r="K2" s="10">
        <v>7</v>
      </c>
      <c r="L2" s="10">
        <v>8</v>
      </c>
      <c r="M2" s="10">
        <v>7</v>
      </c>
      <c r="N2" s="10">
        <v>6</v>
      </c>
      <c r="O2" s="12" t="s">
        <v>119</v>
      </c>
      <c r="P2" s="14" t="s">
        <v>125</v>
      </c>
      <c r="Q2" s="14" t="s">
        <v>129</v>
      </c>
      <c r="R2" s="14" t="s">
        <v>158</v>
      </c>
      <c r="S2" s="14">
        <v>1</v>
      </c>
    </row>
    <row r="3" spans="1:19" ht="28.8">
      <c r="A3" s="15" t="s">
        <v>13</v>
      </c>
      <c r="B3" s="15" t="s">
        <v>8</v>
      </c>
      <c r="C3" s="16" t="s">
        <v>14</v>
      </c>
      <c r="D3" s="15" t="s">
        <v>167</v>
      </c>
      <c r="E3" s="16" t="s">
        <v>15</v>
      </c>
      <c r="F3" s="16" t="s">
        <v>16</v>
      </c>
      <c r="G3" s="16" t="s">
        <v>17</v>
      </c>
      <c r="H3" s="15">
        <v>7</v>
      </c>
      <c r="I3" s="15">
        <v>8</v>
      </c>
      <c r="J3" s="15">
        <v>9</v>
      </c>
      <c r="K3" s="15">
        <v>8</v>
      </c>
      <c r="L3" s="15">
        <v>9</v>
      </c>
      <c r="M3" s="15">
        <v>8</v>
      </c>
      <c r="N3" s="15">
        <v>7</v>
      </c>
      <c r="O3" s="17" t="s">
        <v>7</v>
      </c>
      <c r="P3" s="18" t="s">
        <v>126</v>
      </c>
      <c r="Q3" s="18" t="s">
        <v>130</v>
      </c>
      <c r="R3" s="18" t="s">
        <v>158</v>
      </c>
      <c r="S3" s="18">
        <v>1</v>
      </c>
    </row>
    <row r="4" spans="1:19">
      <c r="A4" s="10" t="s">
        <v>18</v>
      </c>
      <c r="B4" s="10" t="s">
        <v>8</v>
      </c>
      <c r="C4" s="11" t="s">
        <v>19</v>
      </c>
      <c r="D4" s="10" t="s">
        <v>168</v>
      </c>
      <c r="E4" s="11" t="s">
        <v>20</v>
      </c>
      <c r="F4" s="11" t="s">
        <v>21</v>
      </c>
      <c r="G4" s="11" t="s">
        <v>22</v>
      </c>
      <c r="H4" s="10">
        <v>4</v>
      </c>
      <c r="I4" s="10">
        <v>5</v>
      </c>
      <c r="J4" s="10">
        <v>6</v>
      </c>
      <c r="K4" s="10">
        <v>5</v>
      </c>
      <c r="L4" s="10">
        <v>5</v>
      </c>
      <c r="M4" s="10">
        <v>5</v>
      </c>
      <c r="N4" s="10">
        <v>4</v>
      </c>
      <c r="O4" s="12" t="s">
        <v>13</v>
      </c>
      <c r="P4" s="14" t="s">
        <v>127</v>
      </c>
      <c r="Q4" s="14" t="s">
        <v>131</v>
      </c>
      <c r="R4" s="14" t="s">
        <v>158</v>
      </c>
      <c r="S4" s="14">
        <v>1</v>
      </c>
    </row>
    <row r="5" spans="1:19" ht="28.8">
      <c r="A5" s="15" t="s">
        <v>23</v>
      </c>
      <c r="B5" s="15" t="s">
        <v>8</v>
      </c>
      <c r="C5" s="16" t="s">
        <v>24</v>
      </c>
      <c r="D5" s="15" t="s">
        <v>167</v>
      </c>
      <c r="E5" s="16" t="s">
        <v>25</v>
      </c>
      <c r="F5" s="16" t="s">
        <v>26</v>
      </c>
      <c r="G5" s="16" t="s">
        <v>27</v>
      </c>
      <c r="H5" s="15">
        <v>7</v>
      </c>
      <c r="I5" s="15">
        <v>8</v>
      </c>
      <c r="J5" s="15">
        <v>9</v>
      </c>
      <c r="K5" s="15">
        <v>8</v>
      </c>
      <c r="L5" s="15">
        <v>9</v>
      </c>
      <c r="M5" s="15">
        <v>8</v>
      </c>
      <c r="N5" s="15">
        <v>7</v>
      </c>
      <c r="O5" s="17" t="s">
        <v>13</v>
      </c>
      <c r="P5" s="18" t="s">
        <v>126</v>
      </c>
      <c r="Q5" s="18" t="s">
        <v>129</v>
      </c>
      <c r="R5" s="18" t="s">
        <v>158</v>
      </c>
      <c r="S5" s="18">
        <v>2</v>
      </c>
    </row>
    <row r="6" spans="1:19">
      <c r="A6" s="10" t="s">
        <v>28</v>
      </c>
      <c r="B6" s="10" t="s">
        <v>29</v>
      </c>
      <c r="C6" s="11" t="s">
        <v>30</v>
      </c>
      <c r="D6" s="10" t="s">
        <v>167</v>
      </c>
      <c r="E6" s="11" t="s">
        <v>31</v>
      </c>
      <c r="F6" s="11" t="s">
        <v>32</v>
      </c>
      <c r="G6" s="11" t="s">
        <v>33</v>
      </c>
      <c r="H6" s="10">
        <v>4</v>
      </c>
      <c r="I6" s="10">
        <v>5</v>
      </c>
      <c r="J6" s="10">
        <v>6</v>
      </c>
      <c r="K6" s="10">
        <v>5</v>
      </c>
      <c r="L6" s="10">
        <v>5</v>
      </c>
      <c r="M6" s="10">
        <v>5</v>
      </c>
      <c r="N6" s="10">
        <v>4</v>
      </c>
      <c r="O6" s="12" t="s">
        <v>119</v>
      </c>
      <c r="P6" s="14" t="s">
        <v>125</v>
      </c>
      <c r="Q6" s="14" t="s">
        <v>131</v>
      </c>
      <c r="R6" s="14" t="s">
        <v>158</v>
      </c>
      <c r="S6" s="14">
        <v>2</v>
      </c>
    </row>
    <row r="7" spans="1:19">
      <c r="A7" s="15" t="s">
        <v>34</v>
      </c>
      <c r="B7" s="15" t="s">
        <v>29</v>
      </c>
      <c r="C7" s="16" t="s">
        <v>35</v>
      </c>
      <c r="D7" s="15" t="s">
        <v>167</v>
      </c>
      <c r="E7" s="16" t="s">
        <v>36</v>
      </c>
      <c r="F7" s="16" t="s">
        <v>37</v>
      </c>
      <c r="G7" s="16" t="s">
        <v>38</v>
      </c>
      <c r="H7" s="15">
        <v>8</v>
      </c>
      <c r="I7" s="15">
        <v>9</v>
      </c>
      <c r="J7" s="15">
        <v>10</v>
      </c>
      <c r="K7" s="15">
        <v>9</v>
      </c>
      <c r="L7" s="15">
        <v>10</v>
      </c>
      <c r="M7" s="15">
        <v>9</v>
      </c>
      <c r="N7" s="15">
        <v>8</v>
      </c>
      <c r="O7" s="17" t="s">
        <v>120</v>
      </c>
      <c r="P7" s="18" t="s">
        <v>127</v>
      </c>
      <c r="Q7" s="18" t="s">
        <v>130</v>
      </c>
      <c r="R7" s="18" t="s">
        <v>158</v>
      </c>
      <c r="S7" s="18">
        <v>1</v>
      </c>
    </row>
    <row r="8" spans="1:19">
      <c r="A8" s="10" t="s">
        <v>39</v>
      </c>
      <c r="B8" s="10" t="s">
        <v>29</v>
      </c>
      <c r="C8" s="11" t="s">
        <v>40</v>
      </c>
      <c r="D8" s="10" t="s">
        <v>168</v>
      </c>
      <c r="E8" s="11" t="s">
        <v>41</v>
      </c>
      <c r="F8" s="11" t="s">
        <v>42</v>
      </c>
      <c r="G8" s="11" t="s">
        <v>43</v>
      </c>
      <c r="H8" s="10">
        <v>4</v>
      </c>
      <c r="I8" s="10">
        <v>5</v>
      </c>
      <c r="J8" s="10">
        <v>6</v>
      </c>
      <c r="K8" s="10">
        <v>5</v>
      </c>
      <c r="L8" s="10">
        <v>5</v>
      </c>
      <c r="M8" s="10">
        <v>5</v>
      </c>
      <c r="N8" s="10">
        <v>4</v>
      </c>
      <c r="O8" s="12" t="s">
        <v>121</v>
      </c>
      <c r="P8" s="14" t="s">
        <v>127</v>
      </c>
      <c r="Q8" s="14" t="s">
        <v>132</v>
      </c>
      <c r="R8" s="14" t="s">
        <v>158</v>
      </c>
      <c r="S8" s="14">
        <v>2</v>
      </c>
    </row>
    <row r="9" spans="1:19" ht="28.8">
      <c r="A9" s="15" t="s">
        <v>44</v>
      </c>
      <c r="B9" s="15" t="s">
        <v>29</v>
      </c>
      <c r="C9" s="16" t="s">
        <v>45</v>
      </c>
      <c r="D9" s="15" t="s">
        <v>167</v>
      </c>
      <c r="E9" s="16" t="s">
        <v>46</v>
      </c>
      <c r="F9" s="16" t="s">
        <v>47</v>
      </c>
      <c r="G9" s="16" t="s">
        <v>48</v>
      </c>
      <c r="H9" s="15">
        <v>7</v>
      </c>
      <c r="I9" s="15">
        <v>8</v>
      </c>
      <c r="J9" s="15">
        <v>9</v>
      </c>
      <c r="K9" s="15">
        <v>8</v>
      </c>
      <c r="L9" s="15">
        <v>9</v>
      </c>
      <c r="M9" s="15">
        <v>8</v>
      </c>
      <c r="N9" s="15">
        <v>7</v>
      </c>
      <c r="O9" s="17" t="s">
        <v>120</v>
      </c>
      <c r="P9" s="18" t="s">
        <v>126</v>
      </c>
      <c r="Q9" s="18" t="s">
        <v>129</v>
      </c>
      <c r="R9" s="18" t="s">
        <v>158</v>
      </c>
      <c r="S9" s="18">
        <v>3</v>
      </c>
    </row>
    <row r="10" spans="1:19">
      <c r="A10" s="10" t="s">
        <v>49</v>
      </c>
      <c r="B10" s="10" t="s">
        <v>50</v>
      </c>
      <c r="C10" s="11" t="s">
        <v>51</v>
      </c>
      <c r="D10" s="10" t="s">
        <v>167</v>
      </c>
      <c r="E10" s="11" t="s">
        <v>52</v>
      </c>
      <c r="F10" s="11" t="s">
        <v>53</v>
      </c>
      <c r="G10" s="11" t="s">
        <v>54</v>
      </c>
      <c r="H10" s="10">
        <v>5</v>
      </c>
      <c r="I10" s="10">
        <v>6</v>
      </c>
      <c r="J10" s="10">
        <v>7</v>
      </c>
      <c r="K10" s="10">
        <v>6</v>
      </c>
      <c r="L10" s="10">
        <v>6</v>
      </c>
      <c r="M10" s="10">
        <v>6</v>
      </c>
      <c r="N10" s="10">
        <v>5</v>
      </c>
      <c r="O10" s="12" t="s">
        <v>119</v>
      </c>
      <c r="P10" s="14" t="s">
        <v>125</v>
      </c>
      <c r="Q10" s="14" t="s">
        <v>132</v>
      </c>
      <c r="R10" s="14" t="s">
        <v>158</v>
      </c>
      <c r="S10" s="14">
        <v>3</v>
      </c>
    </row>
    <row r="11" spans="1:19">
      <c r="A11" s="15" t="s">
        <v>55</v>
      </c>
      <c r="B11" s="15" t="s">
        <v>50</v>
      </c>
      <c r="C11" s="16" t="s">
        <v>56</v>
      </c>
      <c r="D11" s="15" t="s">
        <v>168</v>
      </c>
      <c r="E11" s="16" t="s">
        <v>57</v>
      </c>
      <c r="F11" s="16" t="s">
        <v>58</v>
      </c>
      <c r="G11" s="16" t="s">
        <v>59</v>
      </c>
      <c r="H11" s="15">
        <v>8</v>
      </c>
      <c r="I11" s="15">
        <v>9</v>
      </c>
      <c r="J11" s="15">
        <v>10</v>
      </c>
      <c r="K11" s="15">
        <v>9</v>
      </c>
      <c r="L11" s="15">
        <v>10</v>
      </c>
      <c r="M11" s="15">
        <v>9</v>
      </c>
      <c r="N11" s="15">
        <v>8</v>
      </c>
      <c r="O11" s="17" t="s">
        <v>122</v>
      </c>
      <c r="P11" s="18" t="s">
        <v>128</v>
      </c>
      <c r="Q11" s="18" t="s">
        <v>130</v>
      </c>
      <c r="R11" s="18" t="s">
        <v>158</v>
      </c>
      <c r="S11" s="18">
        <v>1</v>
      </c>
    </row>
    <row r="12" spans="1:19" ht="28.8">
      <c r="A12" s="10" t="s">
        <v>60</v>
      </c>
      <c r="B12" s="10" t="s">
        <v>50</v>
      </c>
      <c r="C12" s="11" t="s">
        <v>61</v>
      </c>
      <c r="D12" s="10" t="s">
        <v>167</v>
      </c>
      <c r="E12" s="11" t="s">
        <v>62</v>
      </c>
      <c r="F12" s="11" t="s">
        <v>63</v>
      </c>
      <c r="G12" s="11" t="s">
        <v>64</v>
      </c>
      <c r="H12" s="10">
        <v>7</v>
      </c>
      <c r="I12" s="10">
        <v>8</v>
      </c>
      <c r="J12" s="10">
        <v>9</v>
      </c>
      <c r="K12" s="10">
        <v>8</v>
      </c>
      <c r="L12" s="10">
        <v>9</v>
      </c>
      <c r="M12" s="10">
        <v>8</v>
      </c>
      <c r="N12" s="13">
        <v>7</v>
      </c>
      <c r="O12" s="12" t="s">
        <v>122</v>
      </c>
      <c r="P12" s="14" t="s">
        <v>126</v>
      </c>
      <c r="Q12" s="14" t="s">
        <v>129</v>
      </c>
      <c r="R12" s="14" t="s">
        <v>158</v>
      </c>
      <c r="S12" s="14">
        <v>4</v>
      </c>
    </row>
    <row r="13" spans="1:19">
      <c r="A13" s="15" t="s">
        <v>65</v>
      </c>
      <c r="B13" s="15" t="s">
        <v>66</v>
      </c>
      <c r="C13" s="16" t="s">
        <v>67</v>
      </c>
      <c r="D13" s="15" t="s">
        <v>167</v>
      </c>
      <c r="E13" s="16" t="s">
        <v>68</v>
      </c>
      <c r="F13" s="16" t="s">
        <v>69</v>
      </c>
      <c r="G13" s="16" t="s">
        <v>70</v>
      </c>
      <c r="H13" s="15">
        <v>4</v>
      </c>
      <c r="I13" s="15">
        <v>5</v>
      </c>
      <c r="J13" s="15">
        <v>6</v>
      </c>
      <c r="K13" s="15">
        <v>5</v>
      </c>
      <c r="L13" s="15">
        <v>5</v>
      </c>
      <c r="M13" s="15">
        <v>5</v>
      </c>
      <c r="N13" s="15">
        <v>4</v>
      </c>
      <c r="O13" s="17" t="s">
        <v>119</v>
      </c>
      <c r="P13" s="18" t="s">
        <v>125</v>
      </c>
      <c r="Q13" s="18" t="s">
        <v>131</v>
      </c>
      <c r="R13" s="18" t="s">
        <v>158</v>
      </c>
      <c r="S13" s="18">
        <v>4</v>
      </c>
    </row>
    <row r="14" spans="1:19">
      <c r="A14" s="10" t="s">
        <v>71</v>
      </c>
      <c r="B14" s="10" t="s">
        <v>66</v>
      </c>
      <c r="C14" s="11" t="s">
        <v>72</v>
      </c>
      <c r="D14" s="10" t="s">
        <v>168</v>
      </c>
      <c r="E14" s="11" t="s">
        <v>73</v>
      </c>
      <c r="F14" s="11" t="s">
        <v>74</v>
      </c>
      <c r="G14" s="11" t="s">
        <v>75</v>
      </c>
      <c r="H14" s="10">
        <v>7</v>
      </c>
      <c r="I14" s="10">
        <v>8</v>
      </c>
      <c r="J14" s="10">
        <v>9</v>
      </c>
      <c r="K14" s="10">
        <v>8</v>
      </c>
      <c r="L14" s="10">
        <v>9</v>
      </c>
      <c r="M14" s="10">
        <v>8</v>
      </c>
      <c r="N14" s="10">
        <v>7</v>
      </c>
      <c r="O14" s="12" t="s">
        <v>123</v>
      </c>
      <c r="P14" s="14" t="s">
        <v>128</v>
      </c>
      <c r="Q14" s="14" t="s">
        <v>130</v>
      </c>
      <c r="R14" s="14" t="s">
        <v>158</v>
      </c>
      <c r="S14" s="14">
        <v>2</v>
      </c>
    </row>
    <row r="15" spans="1:19" ht="28.8">
      <c r="A15" s="15" t="s">
        <v>76</v>
      </c>
      <c r="B15" s="15" t="s">
        <v>66</v>
      </c>
      <c r="C15" s="16" t="s">
        <v>77</v>
      </c>
      <c r="D15" s="15" t="s">
        <v>167</v>
      </c>
      <c r="E15" s="16" t="s">
        <v>78</v>
      </c>
      <c r="F15" s="16" t="s">
        <v>79</v>
      </c>
      <c r="G15" s="16" t="s">
        <v>80</v>
      </c>
      <c r="H15" s="15">
        <v>7</v>
      </c>
      <c r="I15" s="15">
        <v>8</v>
      </c>
      <c r="J15" s="15">
        <v>9</v>
      </c>
      <c r="K15" s="15">
        <v>8</v>
      </c>
      <c r="L15" s="15">
        <v>9</v>
      </c>
      <c r="M15" s="15">
        <v>8</v>
      </c>
      <c r="N15" s="15">
        <v>7</v>
      </c>
      <c r="O15" s="17" t="s">
        <v>123</v>
      </c>
      <c r="P15" s="18" t="s">
        <v>127</v>
      </c>
      <c r="Q15" s="18" t="s">
        <v>129</v>
      </c>
      <c r="R15" s="18" t="s">
        <v>158</v>
      </c>
      <c r="S15" s="18">
        <v>3</v>
      </c>
    </row>
    <row r="16" spans="1:19">
      <c r="A16" s="10" t="s">
        <v>81</v>
      </c>
      <c r="B16" s="10" t="s">
        <v>82</v>
      </c>
      <c r="C16" s="11" t="s">
        <v>83</v>
      </c>
      <c r="D16" s="10" t="s">
        <v>168</v>
      </c>
      <c r="E16" s="11" t="s">
        <v>84</v>
      </c>
      <c r="F16" s="11" t="s">
        <v>85</v>
      </c>
      <c r="G16" s="11" t="s">
        <v>86</v>
      </c>
      <c r="H16" s="10">
        <v>4</v>
      </c>
      <c r="I16" s="10">
        <v>5</v>
      </c>
      <c r="J16" s="10">
        <v>6</v>
      </c>
      <c r="K16" s="10">
        <v>5</v>
      </c>
      <c r="L16" s="10">
        <v>5</v>
      </c>
      <c r="M16" s="10">
        <v>5</v>
      </c>
      <c r="N16" s="10">
        <v>4</v>
      </c>
      <c r="O16" s="12" t="s">
        <v>119</v>
      </c>
      <c r="P16" s="14" t="s">
        <v>125</v>
      </c>
      <c r="Q16" s="14" t="s">
        <v>133</v>
      </c>
      <c r="R16" s="14" t="s">
        <v>158</v>
      </c>
      <c r="S16" s="14">
        <v>5</v>
      </c>
    </row>
    <row r="17" spans="1:19" ht="28.8">
      <c r="A17" s="15" t="s">
        <v>87</v>
      </c>
      <c r="B17" s="15" t="s">
        <v>82</v>
      </c>
      <c r="C17" s="16" t="s">
        <v>88</v>
      </c>
      <c r="D17" s="15" t="s">
        <v>167</v>
      </c>
      <c r="E17" s="16" t="s">
        <v>89</v>
      </c>
      <c r="F17" s="16" t="s">
        <v>90</v>
      </c>
      <c r="G17" s="16" t="s">
        <v>91</v>
      </c>
      <c r="H17" s="15">
        <v>6</v>
      </c>
      <c r="I17" s="15">
        <v>7</v>
      </c>
      <c r="J17" s="15">
        <v>8</v>
      </c>
      <c r="K17" s="15">
        <v>7</v>
      </c>
      <c r="L17" s="15">
        <v>8</v>
      </c>
      <c r="M17" s="15">
        <v>7</v>
      </c>
      <c r="N17" s="15">
        <v>6</v>
      </c>
      <c r="O17" s="17" t="s">
        <v>165</v>
      </c>
      <c r="P17" s="18" t="s">
        <v>127</v>
      </c>
      <c r="Q17" s="18" t="s">
        <v>129</v>
      </c>
      <c r="R17" s="18" t="s">
        <v>158</v>
      </c>
      <c r="S17" s="18">
        <v>4</v>
      </c>
    </row>
    <row r="18" spans="1:19">
      <c r="A18" s="10" t="s">
        <v>92</v>
      </c>
      <c r="B18" s="10" t="s">
        <v>93</v>
      </c>
      <c r="C18" s="11" t="s">
        <v>94</v>
      </c>
      <c r="D18" s="10" t="s">
        <v>169</v>
      </c>
      <c r="E18" s="11" t="s">
        <v>95</v>
      </c>
      <c r="F18" s="11" t="s">
        <v>96</v>
      </c>
      <c r="G18" s="11" t="s">
        <v>97</v>
      </c>
      <c r="H18" s="10">
        <v>4</v>
      </c>
      <c r="I18" s="10">
        <v>5</v>
      </c>
      <c r="J18" s="10">
        <v>6</v>
      </c>
      <c r="K18" s="10">
        <v>5</v>
      </c>
      <c r="L18" s="10">
        <v>5</v>
      </c>
      <c r="M18" s="10">
        <v>5</v>
      </c>
      <c r="N18" s="10">
        <v>4</v>
      </c>
      <c r="O18" s="12" t="s">
        <v>119</v>
      </c>
      <c r="P18" s="14" t="s">
        <v>125</v>
      </c>
      <c r="Q18" s="14" t="s">
        <v>133</v>
      </c>
      <c r="R18" s="14" t="s">
        <v>158</v>
      </c>
      <c r="S18" s="14">
        <v>6</v>
      </c>
    </row>
    <row r="19" spans="1:19">
      <c r="A19" s="15" t="s">
        <v>98</v>
      </c>
      <c r="B19" s="15" t="s">
        <v>93</v>
      </c>
      <c r="C19" s="16" t="s">
        <v>99</v>
      </c>
      <c r="D19" s="15" t="s">
        <v>169</v>
      </c>
      <c r="E19" s="16" t="s">
        <v>100</v>
      </c>
      <c r="F19" s="16" t="s">
        <v>101</v>
      </c>
      <c r="G19" s="16" t="s">
        <v>102</v>
      </c>
      <c r="H19" s="15">
        <v>9</v>
      </c>
      <c r="I19" s="15">
        <v>10</v>
      </c>
      <c r="J19" s="15">
        <v>11</v>
      </c>
      <c r="K19" s="15">
        <v>10</v>
      </c>
      <c r="L19" s="15">
        <v>11</v>
      </c>
      <c r="M19" s="15">
        <v>10</v>
      </c>
      <c r="N19" s="15">
        <v>8</v>
      </c>
      <c r="O19" s="17" t="s">
        <v>124</v>
      </c>
      <c r="P19" s="18" t="s">
        <v>128</v>
      </c>
      <c r="Q19" s="18" t="s">
        <v>130</v>
      </c>
      <c r="R19" s="18" t="s">
        <v>158</v>
      </c>
      <c r="S19" s="18">
        <v>3</v>
      </c>
    </row>
    <row r="20" spans="1:19">
      <c r="A20" s="10" t="s">
        <v>103</v>
      </c>
      <c r="B20" s="10" t="s">
        <v>104</v>
      </c>
      <c r="C20" s="11" t="s">
        <v>105</v>
      </c>
      <c r="D20" s="10" t="s">
        <v>168</v>
      </c>
      <c r="E20" s="11" t="s">
        <v>106</v>
      </c>
      <c r="F20" s="11" t="s">
        <v>107</v>
      </c>
      <c r="G20" s="11" t="s">
        <v>108</v>
      </c>
      <c r="H20" s="10">
        <v>8</v>
      </c>
      <c r="I20" s="10">
        <v>9</v>
      </c>
      <c r="J20" s="10">
        <v>10</v>
      </c>
      <c r="K20" s="10">
        <v>9</v>
      </c>
      <c r="L20" s="10">
        <v>10</v>
      </c>
      <c r="M20" s="10">
        <v>9</v>
      </c>
      <c r="N20" s="10">
        <v>8</v>
      </c>
      <c r="O20" s="12" t="s">
        <v>13</v>
      </c>
      <c r="P20" s="14" t="s">
        <v>128</v>
      </c>
      <c r="Q20" s="14" t="s">
        <v>132</v>
      </c>
      <c r="R20" s="14" t="s">
        <v>158</v>
      </c>
      <c r="S20" s="14">
        <v>4</v>
      </c>
    </row>
    <row r="21" spans="1:19">
      <c r="A21" s="11"/>
      <c r="B21" s="11"/>
      <c r="C21" s="11"/>
      <c r="D21" s="11"/>
      <c r="E21" s="11"/>
      <c r="F21" s="11"/>
      <c r="G21" s="11"/>
      <c r="H21" s="10"/>
      <c r="I21" s="10"/>
      <c r="J21" s="10"/>
      <c r="K21" s="10"/>
      <c r="L21" s="10"/>
      <c r="M21" s="10">
        <v>135</v>
      </c>
      <c r="N21" s="10">
        <v>115</v>
      </c>
      <c r="O21" s="11"/>
      <c r="P21" s="11"/>
      <c r="Q21" s="11"/>
      <c r="R21" s="11"/>
      <c r="S21" s="11"/>
    </row>
    <row r="24" spans="1:19">
      <c r="P24" s="3"/>
    </row>
    <row r="25" spans="1:19">
      <c r="Q25" s="2"/>
    </row>
  </sheetData>
  <conditionalFormatting sqref="D2:D20">
    <cfRule type="containsText" dxfId="18" priority="10" operator="containsText" text="Must">
      <formula>NOT(ISERROR(SEARCH("Must",D2)))</formula>
    </cfRule>
  </conditionalFormatting>
  <conditionalFormatting sqref="D7">
    <cfRule type="containsText" dxfId="17" priority="9" operator="containsText" text="Should">
      <formula>NOT(ISERROR(SEARCH("Should",D7)))</formula>
    </cfRule>
    <cfRule type="containsText" dxfId="16" priority="8" operator="containsText" text="Should">
      <formula>NOT(ISERROR(SEARCH("Should",D7)))</formula>
    </cfRule>
  </conditionalFormatting>
  <conditionalFormatting sqref="D4">
    <cfRule type="containsText" dxfId="15" priority="7" operator="containsText" text="Should">
      <formula>NOT(ISERROR(SEARCH("Should",D4)))</formula>
    </cfRule>
  </conditionalFormatting>
  <conditionalFormatting sqref="D8">
    <cfRule type="containsText" dxfId="14" priority="6" operator="containsText" text="Should">
      <formula>NOT(ISERROR(SEARCH("Should",D8)))</formula>
    </cfRule>
  </conditionalFormatting>
  <conditionalFormatting sqref="D11">
    <cfRule type="containsText" dxfId="13" priority="5" operator="containsText" text="Should">
      <formula>NOT(ISERROR(SEARCH("Should",D11)))</formula>
    </cfRule>
  </conditionalFormatting>
  <conditionalFormatting sqref="D14">
    <cfRule type="containsText" dxfId="12" priority="4" operator="containsText" text="Should">
      <formula>NOT(ISERROR(SEARCH("Should",D14)))</formula>
    </cfRule>
  </conditionalFormatting>
  <conditionalFormatting sqref="D16">
    <cfRule type="containsText" dxfId="11" priority="3" operator="containsText" text="Should">
      <formula>NOT(ISERROR(SEARCH("Should",D16)))</formula>
    </cfRule>
  </conditionalFormatting>
  <conditionalFormatting sqref="D20">
    <cfRule type="containsText" dxfId="10" priority="2" operator="containsText" text="Should">
      <formula>NOT(ISERROR(SEARCH("Should",D20)))</formula>
    </cfRule>
  </conditionalFormatting>
  <conditionalFormatting sqref="D18:D19">
    <cfRule type="containsText" dxfId="0" priority="1" operator="containsText" text="Could">
      <formula>NOT(ISERROR(SEARCH("Could",D18)))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E68B-C807-438B-B889-DB2979C9F9DE}">
  <dimension ref="A1:O24"/>
  <sheetViews>
    <sheetView workbookViewId="0">
      <selection activeCell="E12" sqref="E12"/>
    </sheetView>
  </sheetViews>
  <sheetFormatPr baseColWidth="10" defaultRowHeight="14.4"/>
  <cols>
    <col min="1" max="1" width="35.44140625" customWidth="1"/>
    <col min="2" max="2" width="23.21875" customWidth="1"/>
    <col min="3" max="3" width="19.21875" customWidth="1"/>
    <col min="4" max="4" width="18.21875" customWidth="1"/>
    <col min="6" max="6" width="15.21875" customWidth="1"/>
    <col min="7" max="7" width="23.44140625" customWidth="1"/>
    <col min="8" max="8" width="21.21875" customWidth="1"/>
    <col min="9" max="9" width="21.33203125" customWidth="1"/>
    <col min="10" max="10" width="17.5546875" customWidth="1"/>
    <col min="11" max="11" width="17" customWidth="1"/>
    <col min="12" max="12" width="18.109375" customWidth="1"/>
    <col min="13" max="13" width="17.44140625" customWidth="1"/>
    <col min="14" max="14" width="16.44140625" customWidth="1"/>
    <col min="15" max="15" width="18.21875" customWidth="1"/>
  </cols>
  <sheetData>
    <row r="1" spans="1:15" ht="25.05" customHeight="1">
      <c r="A1" s="6" t="s">
        <v>134</v>
      </c>
      <c r="B1" s="6" t="s">
        <v>135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136</v>
      </c>
      <c r="H1" s="6" t="s">
        <v>137</v>
      </c>
      <c r="I1" s="6" t="s">
        <v>138</v>
      </c>
      <c r="J1" s="6" t="s">
        <v>140</v>
      </c>
      <c r="K1" s="6" t="s">
        <v>141</v>
      </c>
      <c r="L1" s="6" t="s">
        <v>142</v>
      </c>
      <c r="M1" s="6" t="s">
        <v>143</v>
      </c>
      <c r="N1" s="6" t="s">
        <v>144</v>
      </c>
      <c r="O1" s="6" t="s">
        <v>145</v>
      </c>
    </row>
    <row r="2" spans="1:15">
      <c r="A2" s="5" t="s">
        <v>131</v>
      </c>
      <c r="B2" s="5">
        <v>6.25</v>
      </c>
      <c r="C2" s="5">
        <v>5</v>
      </c>
      <c r="D2" s="5">
        <v>5.25</v>
      </c>
      <c r="E2" s="5">
        <v>6</v>
      </c>
      <c r="F2" s="5">
        <v>6.25</v>
      </c>
      <c r="G2" s="5">
        <f>SUM(C2:F2)</f>
        <v>22.5</v>
      </c>
      <c r="H2" s="5">
        <f>B2*4</f>
        <v>25</v>
      </c>
      <c r="I2" s="5">
        <f>H2-G2</f>
        <v>2.5</v>
      </c>
      <c r="J2" s="5">
        <v>35</v>
      </c>
      <c r="K2" s="5">
        <f>C2*$J2</f>
        <v>175</v>
      </c>
      <c r="L2" s="5">
        <f>D2*$J2</f>
        <v>183.75</v>
      </c>
      <c r="M2" s="5">
        <f>E2*$J2</f>
        <v>210</v>
      </c>
      <c r="N2" s="5">
        <f>F2*$J2</f>
        <v>218.75</v>
      </c>
      <c r="O2" s="5">
        <f>SUM(K2:N2)</f>
        <v>787.5</v>
      </c>
    </row>
    <row r="3" spans="1:15">
      <c r="A3" s="20" t="s">
        <v>133</v>
      </c>
      <c r="B3" s="20">
        <v>6.25</v>
      </c>
      <c r="C3" s="20">
        <v>5.5</v>
      </c>
      <c r="D3" s="20">
        <v>6</v>
      </c>
      <c r="E3" s="20">
        <v>5.5</v>
      </c>
      <c r="F3" s="20">
        <v>6</v>
      </c>
      <c r="G3" s="20">
        <f>SUM(C3:F3)</f>
        <v>23</v>
      </c>
      <c r="H3" s="20">
        <f>B3*4</f>
        <v>25</v>
      </c>
      <c r="I3" s="20">
        <f>H3-G3</f>
        <v>2</v>
      </c>
      <c r="J3" s="20">
        <v>30</v>
      </c>
      <c r="K3" s="20">
        <f>C3*$J3</f>
        <v>165</v>
      </c>
      <c r="L3" s="20">
        <f>D3*$J3</f>
        <v>180</v>
      </c>
      <c r="M3" s="20">
        <f>E3*$J3</f>
        <v>165</v>
      </c>
      <c r="N3" s="20">
        <f>F3*$J3</f>
        <v>180</v>
      </c>
      <c r="O3" s="20">
        <f>SUM(K3:N3)</f>
        <v>690</v>
      </c>
    </row>
    <row r="4" spans="1:15">
      <c r="A4" s="5" t="s">
        <v>129</v>
      </c>
      <c r="B4" s="5">
        <v>6.25</v>
      </c>
      <c r="C4" s="5">
        <v>5</v>
      </c>
      <c r="D4" s="5">
        <v>5.75</v>
      </c>
      <c r="E4" s="5">
        <v>5.75</v>
      </c>
      <c r="F4" s="5">
        <v>6.25</v>
      </c>
      <c r="G4" s="5">
        <f>SUM(C4:F4)</f>
        <v>22.75</v>
      </c>
      <c r="H4" s="5">
        <f>B4*4</f>
        <v>25</v>
      </c>
      <c r="I4" s="5">
        <f>H4-G4</f>
        <v>2.25</v>
      </c>
      <c r="J4" s="5">
        <v>40</v>
      </c>
      <c r="K4" s="5">
        <f>C4*$J4</f>
        <v>200</v>
      </c>
      <c r="L4" s="5">
        <f>D4*$J4</f>
        <v>230</v>
      </c>
      <c r="M4" s="5">
        <f>E4*$J4</f>
        <v>230</v>
      </c>
      <c r="N4" s="5">
        <f>F4*$J4</f>
        <v>250</v>
      </c>
      <c r="O4" s="5">
        <f>SUM(K4:N4)</f>
        <v>910</v>
      </c>
    </row>
    <row r="5" spans="1:15">
      <c r="A5" s="20" t="s">
        <v>132</v>
      </c>
      <c r="B5" s="20">
        <v>6.25</v>
      </c>
      <c r="C5" s="20">
        <v>5.5</v>
      </c>
      <c r="D5" s="20">
        <v>5.75</v>
      </c>
      <c r="E5" s="20">
        <v>6</v>
      </c>
      <c r="F5" s="20">
        <v>6.25</v>
      </c>
      <c r="G5" s="20">
        <f>SUM(C5:F5)</f>
        <v>23.5</v>
      </c>
      <c r="H5" s="20">
        <f>B5*4</f>
        <v>25</v>
      </c>
      <c r="I5" s="20">
        <f>H5-G5</f>
        <v>1.5</v>
      </c>
      <c r="J5" s="20">
        <v>35</v>
      </c>
      <c r="K5" s="20">
        <f>C5*$J5</f>
        <v>192.5</v>
      </c>
      <c r="L5" s="20">
        <f>D5*$J5</f>
        <v>201.25</v>
      </c>
      <c r="M5" s="20">
        <f>E5*$J5</f>
        <v>210</v>
      </c>
      <c r="N5" s="20">
        <f>F5*$J5</f>
        <v>218.75</v>
      </c>
      <c r="O5" s="20">
        <f>SUM(K5:N5)</f>
        <v>822.5</v>
      </c>
    </row>
    <row r="6" spans="1:15">
      <c r="A6" s="5" t="s">
        <v>130</v>
      </c>
      <c r="B6" s="5">
        <v>6.25</v>
      </c>
      <c r="C6" s="5">
        <v>6</v>
      </c>
      <c r="D6" s="5">
        <v>5.25</v>
      </c>
      <c r="E6" s="5">
        <v>5.75</v>
      </c>
      <c r="F6" s="5">
        <v>6.25</v>
      </c>
      <c r="G6" s="5">
        <f>SUM(C6:F6)</f>
        <v>23.25</v>
      </c>
      <c r="H6" s="5">
        <f>B6*4</f>
        <v>25</v>
      </c>
      <c r="I6" s="5">
        <f>H6-G6</f>
        <v>1.75</v>
      </c>
      <c r="J6" s="5">
        <v>25</v>
      </c>
      <c r="K6" s="5">
        <f>C6*$J6</f>
        <v>150</v>
      </c>
      <c r="L6" s="5">
        <f>D6*$J6</f>
        <v>131.25</v>
      </c>
      <c r="M6" s="5">
        <f>E6*$J6</f>
        <v>143.75</v>
      </c>
      <c r="N6" s="5">
        <f>F6*$J6</f>
        <v>156.25</v>
      </c>
      <c r="O6" s="5">
        <f>SUM(K6:N6)</f>
        <v>581.25</v>
      </c>
    </row>
    <row r="7" spans="1:15">
      <c r="A7" s="23" t="s">
        <v>139</v>
      </c>
      <c r="B7" s="21">
        <f>SUM(B2:B6)</f>
        <v>31.25</v>
      </c>
      <c r="C7" s="21">
        <f>SUM(C2:C6)</f>
        <v>27</v>
      </c>
      <c r="D7" s="21">
        <f>SUM(D2:D6)</f>
        <v>28</v>
      </c>
      <c r="E7" s="21">
        <f>SUM(E2:E6)</f>
        <v>29</v>
      </c>
      <c r="F7" s="21">
        <f>SUM(F2:F6)</f>
        <v>31</v>
      </c>
      <c r="G7" s="21">
        <f>SUM(G2:G6)</f>
        <v>115</v>
      </c>
      <c r="H7" s="21">
        <f>SUM(H2:H6)</f>
        <v>125</v>
      </c>
      <c r="I7" s="21">
        <f>SUM(I2:I6)</f>
        <v>10</v>
      </c>
      <c r="J7" s="21"/>
      <c r="K7" s="21">
        <f>SUM(K2:K6)</f>
        <v>882.5</v>
      </c>
      <c r="L7" s="21">
        <f>SUM(L2:L6)</f>
        <v>926.25</v>
      </c>
      <c r="M7" s="21">
        <f>SUM(M2:M6)</f>
        <v>958.75</v>
      </c>
      <c r="N7" s="21">
        <f>SUM(N2:N6)</f>
        <v>1023.75</v>
      </c>
      <c r="O7" s="21">
        <f>SUM(O2:O6)</f>
        <v>3791.25</v>
      </c>
    </row>
    <row r="10" spans="1:15" ht="25.05" customHeight="1">
      <c r="A10" s="8" t="s">
        <v>146</v>
      </c>
      <c r="B10" s="8"/>
      <c r="C10" s="8"/>
      <c r="D10" s="8"/>
    </row>
    <row r="11" spans="1:15" ht="25.05" customHeight="1">
      <c r="A11" s="8" t="s">
        <v>116</v>
      </c>
      <c r="B11" s="8" t="s">
        <v>147</v>
      </c>
      <c r="C11" s="8" t="s">
        <v>148</v>
      </c>
      <c r="D11" s="8" t="s">
        <v>149</v>
      </c>
    </row>
    <row r="12" spans="1:15">
      <c r="A12" s="7" t="s">
        <v>125</v>
      </c>
      <c r="B12" s="7">
        <f>SUMIF(Hoja1!$P$2:$P$20,A12,Hoja1!$N$2:$N$20)</f>
        <v>27</v>
      </c>
      <c r="C12" s="7">
        <f>C7</f>
        <v>27</v>
      </c>
      <c r="D12" s="7">
        <f>C12-B12</f>
        <v>0</v>
      </c>
    </row>
    <row r="13" spans="1:15">
      <c r="A13" s="19" t="s">
        <v>126</v>
      </c>
      <c r="B13" s="19">
        <f>SUMIF(Hoja1!$P$2:$P$20,A13,Hoja1!$N$2:$N$20)</f>
        <v>28</v>
      </c>
      <c r="C13" s="19">
        <f>D7</f>
        <v>28</v>
      </c>
      <c r="D13" s="19">
        <f>C13-B13</f>
        <v>0</v>
      </c>
    </row>
    <row r="14" spans="1:15">
      <c r="A14" s="7" t="s">
        <v>127</v>
      </c>
      <c r="B14" s="7">
        <f>SUMIF(Hoja1!$P$2:$P$20,A14,Hoja1!$N$2:$N$20)</f>
        <v>29</v>
      </c>
      <c r="C14" s="7">
        <f>E7</f>
        <v>29</v>
      </c>
      <c r="D14" s="7">
        <f>C14-B14</f>
        <v>0</v>
      </c>
    </row>
    <row r="15" spans="1:15">
      <c r="A15" s="19" t="s">
        <v>128</v>
      </c>
      <c r="B15" s="19">
        <f>SUMIF(Hoja1!$P$2:$P$20,A15,Hoja1!$N$2:$N$20)</f>
        <v>31</v>
      </c>
      <c r="C15" s="19">
        <f>F7</f>
        <v>31</v>
      </c>
      <c r="D15" s="19">
        <f>C15-B15</f>
        <v>0</v>
      </c>
    </row>
    <row r="18" spans="1:2" ht="25.05" customHeight="1">
      <c r="A18" s="8" t="s">
        <v>150</v>
      </c>
      <c r="B18" s="8" t="s">
        <v>151</v>
      </c>
    </row>
    <row r="19" spans="1:2">
      <c r="A19" s="7" t="s">
        <v>152</v>
      </c>
      <c r="B19" s="7">
        <f>SUM(B12:B15)</f>
        <v>115</v>
      </c>
    </row>
    <row r="20" spans="1:2">
      <c r="A20" s="19" t="s">
        <v>153</v>
      </c>
      <c r="B20" s="19">
        <f>H7</f>
        <v>125</v>
      </c>
    </row>
    <row r="21" spans="1:2">
      <c r="A21" s="22" t="s">
        <v>154</v>
      </c>
      <c r="B21" s="22">
        <f>B20-B19</f>
        <v>10</v>
      </c>
    </row>
    <row r="22" spans="1:2">
      <c r="A22" s="19" t="s">
        <v>155</v>
      </c>
      <c r="B22" s="19">
        <f>O7</f>
        <v>3791.25</v>
      </c>
    </row>
    <row r="23" spans="1:2">
      <c r="A23" s="7" t="s">
        <v>156</v>
      </c>
      <c r="B23" s="7">
        <f>4*SUMPRODUCT(B2:B6,J2:J6)</f>
        <v>4125</v>
      </c>
    </row>
    <row r="24" spans="1:2">
      <c r="A24" s="19" t="s">
        <v>157</v>
      </c>
      <c r="B24" s="19">
        <f>B23-B22</f>
        <v>333.75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3C92-42C1-4908-A9B2-26BFEC7F39E0}">
  <dimension ref="A1:G20"/>
  <sheetViews>
    <sheetView tabSelected="1" workbookViewId="0">
      <selection activeCell="I18" sqref="I18"/>
    </sheetView>
  </sheetViews>
  <sheetFormatPr baseColWidth="10" defaultRowHeight="14.4"/>
  <sheetData>
    <row r="1" spans="1:7" ht="30" customHeight="1">
      <c r="A1" s="6" t="s">
        <v>160</v>
      </c>
      <c r="B1" s="6" t="s">
        <v>116</v>
      </c>
      <c r="C1" s="6" t="s">
        <v>161</v>
      </c>
      <c r="D1" s="6" t="s">
        <v>162</v>
      </c>
      <c r="E1" s="6" t="s">
        <v>163</v>
      </c>
      <c r="F1" s="6" t="s">
        <v>164</v>
      </c>
      <c r="G1" s="7"/>
    </row>
    <row r="2" spans="1:7">
      <c r="A2" s="5" t="s">
        <v>7</v>
      </c>
      <c r="B2" s="5" t="s">
        <v>125</v>
      </c>
      <c r="C2" s="4"/>
      <c r="D2" s="5"/>
      <c r="E2" s="5"/>
      <c r="F2" s="5"/>
      <c r="G2" s="7"/>
    </row>
    <row r="3" spans="1:7">
      <c r="A3" s="5" t="s">
        <v>13</v>
      </c>
      <c r="B3" s="5" t="s">
        <v>126</v>
      </c>
      <c r="C3" s="5"/>
      <c r="D3" s="4"/>
      <c r="E3" s="5"/>
      <c r="F3" s="5"/>
      <c r="G3" s="7"/>
    </row>
    <row r="4" spans="1:7">
      <c r="A4" s="5" t="s">
        <v>18</v>
      </c>
      <c r="B4" s="5" t="s">
        <v>127</v>
      </c>
      <c r="C4" s="5"/>
      <c r="D4" s="5"/>
      <c r="E4" s="4"/>
      <c r="F4" s="5"/>
      <c r="G4" s="7"/>
    </row>
    <row r="5" spans="1:7">
      <c r="A5" s="5" t="s">
        <v>23</v>
      </c>
      <c r="B5" s="5" t="s">
        <v>126</v>
      </c>
      <c r="C5" s="5"/>
      <c r="D5" s="4"/>
      <c r="E5" s="5"/>
      <c r="F5" s="5"/>
      <c r="G5" s="7"/>
    </row>
    <row r="6" spans="1:7">
      <c r="A6" s="5" t="s">
        <v>28</v>
      </c>
      <c r="B6" s="5" t="s">
        <v>125</v>
      </c>
      <c r="C6" s="4"/>
      <c r="D6" s="5"/>
      <c r="E6" s="5"/>
      <c r="F6" s="5"/>
      <c r="G6" s="7"/>
    </row>
    <row r="7" spans="1:7">
      <c r="A7" s="5" t="s">
        <v>34</v>
      </c>
      <c r="B7" s="5" t="s">
        <v>127</v>
      </c>
      <c r="C7" s="5"/>
      <c r="D7" s="5"/>
      <c r="E7" s="4"/>
      <c r="F7" s="5"/>
      <c r="G7" s="7"/>
    </row>
    <row r="8" spans="1:7">
      <c r="A8" s="5" t="s">
        <v>39</v>
      </c>
      <c r="B8" s="5" t="s">
        <v>127</v>
      </c>
      <c r="C8" s="5"/>
      <c r="D8" s="5"/>
      <c r="E8" s="4"/>
      <c r="F8" s="5"/>
      <c r="G8" s="7"/>
    </row>
    <row r="9" spans="1:7">
      <c r="A9" s="5" t="s">
        <v>44</v>
      </c>
      <c r="B9" s="5" t="s">
        <v>126</v>
      </c>
      <c r="C9" s="5"/>
      <c r="D9" s="4"/>
      <c r="E9" s="5"/>
      <c r="F9" s="5"/>
      <c r="G9" s="7"/>
    </row>
    <row r="10" spans="1:7">
      <c r="A10" s="5" t="s">
        <v>49</v>
      </c>
      <c r="B10" s="5" t="s">
        <v>125</v>
      </c>
      <c r="C10" s="4"/>
      <c r="D10" s="5"/>
      <c r="E10" s="5"/>
      <c r="F10" s="5"/>
      <c r="G10" s="7"/>
    </row>
    <row r="11" spans="1:7">
      <c r="A11" s="5" t="s">
        <v>55</v>
      </c>
      <c r="B11" s="5" t="s">
        <v>128</v>
      </c>
      <c r="C11" s="5"/>
      <c r="D11" s="5"/>
      <c r="E11" s="5"/>
      <c r="F11" s="4"/>
      <c r="G11" s="7"/>
    </row>
    <row r="12" spans="1:7">
      <c r="A12" s="5" t="s">
        <v>60</v>
      </c>
      <c r="B12" s="5" t="s">
        <v>126</v>
      </c>
      <c r="C12" s="5"/>
      <c r="D12" s="4"/>
      <c r="E12" s="5"/>
      <c r="F12" s="5"/>
      <c r="G12" s="7"/>
    </row>
    <row r="13" spans="1:7">
      <c r="A13" s="5" t="s">
        <v>65</v>
      </c>
      <c r="B13" s="5" t="s">
        <v>125</v>
      </c>
      <c r="C13" s="4"/>
      <c r="D13" s="5"/>
      <c r="E13" s="5"/>
      <c r="F13" s="5"/>
      <c r="G13" s="7"/>
    </row>
    <row r="14" spans="1:7">
      <c r="A14" s="5" t="s">
        <v>71</v>
      </c>
      <c r="B14" s="5" t="s">
        <v>128</v>
      </c>
      <c r="C14" s="5"/>
      <c r="D14" s="5"/>
      <c r="E14" s="5"/>
      <c r="F14" s="4"/>
      <c r="G14" s="7"/>
    </row>
    <row r="15" spans="1:7">
      <c r="A15" s="5" t="s">
        <v>76</v>
      </c>
      <c r="B15" s="5" t="s">
        <v>127</v>
      </c>
      <c r="C15" s="5"/>
      <c r="D15" s="5"/>
      <c r="E15" s="4"/>
      <c r="F15" s="5"/>
      <c r="G15" s="7"/>
    </row>
    <row r="16" spans="1:7">
      <c r="A16" s="5" t="s">
        <v>81</v>
      </c>
      <c r="B16" s="5" t="s">
        <v>125</v>
      </c>
      <c r="C16" s="4"/>
      <c r="D16" s="5"/>
      <c r="E16" s="5"/>
      <c r="F16" s="5"/>
      <c r="G16" s="7"/>
    </row>
    <row r="17" spans="1:7">
      <c r="A17" s="5" t="s">
        <v>87</v>
      </c>
      <c r="B17" s="5" t="s">
        <v>127</v>
      </c>
      <c r="C17" s="5"/>
      <c r="D17" s="5"/>
      <c r="E17" s="4"/>
      <c r="F17" s="5"/>
      <c r="G17" s="7"/>
    </row>
    <row r="18" spans="1:7">
      <c r="A18" s="5" t="s">
        <v>92</v>
      </c>
      <c r="B18" s="5" t="s">
        <v>125</v>
      </c>
      <c r="C18" s="4"/>
      <c r="D18" s="5"/>
      <c r="E18" s="5"/>
      <c r="F18" s="5"/>
      <c r="G18" s="7"/>
    </row>
    <row r="19" spans="1:7">
      <c r="A19" s="5" t="s">
        <v>98</v>
      </c>
      <c r="B19" s="5" t="s">
        <v>128</v>
      </c>
      <c r="C19" s="5"/>
      <c r="D19" s="5"/>
      <c r="E19" s="5"/>
      <c r="F19" s="4"/>
      <c r="G19" s="7"/>
    </row>
    <row r="20" spans="1:7">
      <c r="A20" s="5" t="s">
        <v>103</v>
      </c>
      <c r="B20" s="5" t="s">
        <v>128</v>
      </c>
      <c r="C20" s="5"/>
      <c r="D20" s="5"/>
      <c r="E20" s="5"/>
      <c r="F20" s="4"/>
      <c r="G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Planifiacion inicial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Arias Santiago</dc:creator>
  <cp:lastModifiedBy>Raúl Arias Santiago</cp:lastModifiedBy>
  <dcterms:created xsi:type="dcterms:W3CDTF">2026-10-07T11:19:05Z</dcterms:created>
  <dcterms:modified xsi:type="dcterms:W3CDTF">2026-10-11T16:21:53Z</dcterms:modified>
</cp:coreProperties>
</file>